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khil\OneDrive\Desktop\Data Analytics\Projects\"/>
    </mc:Choice>
  </mc:AlternateContent>
  <xr:revisionPtr revIDLastSave="0" documentId="13_ncr:1_{999A75FB-715B-4729-ADC6-5957209A4978}"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3" state="hidden" r:id="rId2"/>
    <sheet name="Pivot table" sheetId="4" state="hidden" r:id="rId3"/>
    <sheet name="Dashbao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ti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2" i="3"/>
</calcChain>
</file>

<file path=xl/sharedStrings.xml><?xml version="1.0" encoding="utf-8"?>
<sst xmlns="http://schemas.openxmlformats.org/spreadsheetml/2006/main" count="16476" uniqueCount="53">
  <si>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</si>
  <si>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</si>
  <si>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</si>
  <si>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</si>
  <si>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</si>
  <si>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</si>
  <si>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</si>
  <si>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</si>
  <si>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</si>
  <si>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</si>
  <si>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</si>
  <si>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</si>
  <si>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</si>
  <si>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</si>
  <si>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</si>
  <si>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</si>
  <si>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</si>
  <si>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</si>
  <si>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</si>
  <si>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</si>
  <si>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</si>
  <si>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</si>
  <si>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</si>
  <si>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</si>
  <si>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</si>
  <si>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</si>
  <si>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</si>
  <si>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</si>
  <si>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</si>
  <si>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</si>
  <si>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</si>
  <si>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</si>
  <si>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</si>
  <si>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</si>
  <si>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</si>
  <si>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</si>
  <si>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</si>
  <si>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</si>
  <si>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Martial Status</t>
  </si>
  <si>
    <t>Male</t>
  </si>
  <si>
    <t>Female</t>
  </si>
  <si>
    <t>Age Brackets</t>
  </si>
  <si>
    <t>Row Labels</t>
  </si>
  <si>
    <t>Grand Total</t>
  </si>
  <si>
    <t>Column Labels</t>
  </si>
  <si>
    <t>Average of Income</t>
  </si>
  <si>
    <t>Count of Purchased Bike</t>
  </si>
  <si>
    <t>More than 10 miles</t>
  </si>
  <si>
    <t>A</t>
  </si>
  <si>
    <t xml:space="preserve">  </t>
  </si>
  <si>
    <t>MIDDLE AGED(30-54)</t>
  </si>
  <si>
    <t>OLD(55-89)</t>
  </si>
  <si>
    <t>ADOLESCENT(1-29)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</si>
</sst>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Alignment="1">
      <alignment wrapText="1"/>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 bike</a:t>
            </a:r>
          </a:p>
          <a:p>
            <a:pPr>
              <a:defRPr/>
            </a:pPr>
            <a:r>
              <a:rPr lang="en-IN"/>
              <a:t>based on income</a:t>
            </a:r>
          </a:p>
        </c:rich>
      </c:tx>
      <c:layout>
        <c:manualLayout>
          <c:xMode val="edge"/>
          <c:yMode val="edge"/>
          <c:x val="0.37548605035481669"/>
          <c:y val="4.3808632831787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3937007874016"/>
          <c:y val="0.25444225721784774"/>
          <c:w val="0.66499759405074366"/>
          <c:h val="0.3146037474482356"/>
        </c:manualLayout>
      </c:layout>
      <c:barChart>
        <c:barDir val="col"/>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table'!$B$5:$B$11</c:f>
              <c:multiLvlStrCache>
                <c:ptCount val="4"/>
                <c:lvl>
                  <c:pt idx="0">
                    <c:v>No</c:v>
                  </c:pt>
                  <c:pt idx="1">
                    <c:v>Yes</c:v>
                  </c:pt>
                  <c:pt idx="2">
                    <c:v>No</c:v>
                  </c:pt>
                  <c:pt idx="3">
                    <c:v>Yes</c:v>
                  </c:pt>
                </c:lvl>
                <c:lvl>
                  <c:pt idx="0">
                    <c:v>Female</c:v>
                  </c:pt>
                  <c:pt idx="2">
                    <c:v>Male</c:v>
                  </c:pt>
                </c:lvl>
              </c:multiLvlStrCache>
            </c:multiLvlStrRef>
          </c:cat>
          <c:val>
            <c:numRef>
              <c:f>'Pivot table'!$C$5:$C$11</c:f>
              <c:numCache>
                <c:formatCode>"₹"\ #,##0</c:formatCode>
                <c:ptCount val="4"/>
                <c:pt idx="0">
                  <c:v>53449.612403100778</c:v>
                </c:pt>
                <c:pt idx="1">
                  <c:v>55267.489711934155</c:v>
                </c:pt>
                <c:pt idx="2">
                  <c:v>56520.146520146518</c:v>
                </c:pt>
                <c:pt idx="3">
                  <c:v>59603.174603174601</c:v>
                </c:pt>
              </c:numCache>
            </c:numRef>
          </c:val>
          <c:extLst>
            <c:ext xmlns:c16="http://schemas.microsoft.com/office/drawing/2014/chart" uri="{C3380CC4-5D6E-409C-BE32-E72D297353CC}">
              <c16:uniqueId val="{00000000-E5E5-45A0-BA45-80FD3F453FD5}"/>
            </c:ext>
          </c:extLst>
        </c:ser>
        <c:dLbls>
          <c:dLblPos val="outEnd"/>
          <c:showLegendKey val="0"/>
          <c:showVal val="1"/>
          <c:showCatName val="0"/>
          <c:showSerName val="0"/>
          <c:showPercent val="0"/>
          <c:showBubbleSize val="0"/>
        </c:dLbls>
        <c:gapWidth val="219"/>
        <c:overlap val="-27"/>
        <c:axId val="957071711"/>
        <c:axId val="957072191"/>
      </c:barChart>
      <c:catAx>
        <c:axId val="957071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2191"/>
        <c:crosses val="autoZero"/>
        <c:auto val="1"/>
        <c:lblAlgn val="ctr"/>
        <c:lblOffset val="100"/>
        <c:noMultiLvlLbl val="0"/>
      </c:catAx>
      <c:valAx>
        <c:axId val="957072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7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bikes bought based on Distance</a:t>
            </a:r>
          </a:p>
          <a:p>
            <a:pPr>
              <a:defRPr/>
            </a:pPr>
            <a:endParaRPr lang="en-IN"/>
          </a:p>
        </c:rich>
      </c:tx>
      <c:layout>
        <c:manualLayout>
          <c:xMode val="edge"/>
          <c:yMode val="edge"/>
          <c:x val="0.2058333333333333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3.4277777777777775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3.0722222222222324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7.5333333333333335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1.683333333333333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7.5333333333333335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3.4277777777777775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layout>
            <c:manualLayout>
              <c:x val="-3.0722222222222324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layout>
            <c:manualLayout>
              <c:x val="-1.683333333333333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7.5333333333333335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3.4277777777777775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3.0722222222222324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1.683333333333333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1884139482564"/>
          <c:y val="0.27296077573636629"/>
          <c:w val="0.60717957130358702"/>
          <c:h val="0.37903980752405952"/>
        </c:manualLayout>
      </c:layout>
      <c:lineChart>
        <c:grouping val="standard"/>
        <c:varyColors val="0"/>
        <c:ser>
          <c:idx val="0"/>
          <c:order val="0"/>
          <c:tx>
            <c:strRef>
              <c:f>'Pivot table'!$G$5:$G$6</c:f>
              <c:strCache>
                <c:ptCount val="1"/>
                <c:pt idx="0">
                  <c:v>No</c:v>
                </c:pt>
              </c:strCache>
            </c:strRef>
          </c:tx>
          <c:spPr>
            <a:ln w="28575" cap="rnd">
              <a:solidFill>
                <a:schemeClr val="accent1"/>
              </a:solidFill>
              <a:round/>
            </a:ln>
            <a:effectLst/>
          </c:spPr>
          <c:marker>
            <c:symbol val="none"/>
          </c:marker>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0-DBA3-4FB0-80B1-471759F51374}"/>
              </c:ext>
            </c:extLst>
          </c:dPt>
          <c:dLbls>
            <c:dLbl>
              <c:idx val="4"/>
              <c:layout>
                <c:manualLayout>
                  <c:x val="-7.5333333333333335E-2"/>
                  <c:y val="1.3888888888888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A3-4FB0-80B1-471759F513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table'!$F$7:$F$12</c:f>
              <c:strCache>
                <c:ptCount val="5"/>
                <c:pt idx="0">
                  <c:v>0-1 Miles</c:v>
                </c:pt>
                <c:pt idx="1">
                  <c:v>1-2 Miles</c:v>
                </c:pt>
                <c:pt idx="2">
                  <c:v>2-5 Miles</c:v>
                </c:pt>
                <c:pt idx="3">
                  <c:v>5-10 Miles</c:v>
                </c:pt>
                <c:pt idx="4">
                  <c:v>More than 10 miles</c:v>
                </c:pt>
              </c:strCache>
            </c:strRef>
          </c:cat>
          <c:val>
            <c:numRef>
              <c:f>'Pivot table'!$G$7:$G$12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1-DBA3-4FB0-80B1-471759F51374}"/>
            </c:ext>
          </c:extLst>
        </c:ser>
        <c:ser>
          <c:idx val="1"/>
          <c:order val="1"/>
          <c:tx>
            <c:strRef>
              <c:f>'Pivot table'!$H$5:$H$6</c:f>
              <c:strCache>
                <c:ptCount val="1"/>
                <c:pt idx="0">
                  <c:v>Yes</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2-DBA3-4FB0-80B1-471759F51374}"/>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DBA3-4FB0-80B1-471759F51374}"/>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DBA3-4FB0-80B1-471759F51374}"/>
              </c:ext>
            </c:extLst>
          </c:dPt>
          <c:dLbls>
            <c:dLbl>
              <c:idx val="0"/>
              <c:layout>
                <c:manualLayout>
                  <c:x val="-3.4277777777777775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A3-4FB0-80B1-471759F51374}"/>
                </c:ext>
              </c:extLst>
            </c:dLbl>
            <c:dLbl>
              <c:idx val="3"/>
              <c:layout>
                <c:manualLayout>
                  <c:x val="-3.0722222222222324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A3-4FB0-80B1-471759F51374}"/>
                </c:ext>
              </c:extLst>
            </c:dLbl>
            <c:dLbl>
              <c:idx val="4"/>
              <c:layout>
                <c:manualLayout>
                  <c:x val="-1.6833333333333332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A3-4FB0-80B1-471759F513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table'!$F$7:$F$12</c:f>
              <c:strCache>
                <c:ptCount val="5"/>
                <c:pt idx="0">
                  <c:v>0-1 Miles</c:v>
                </c:pt>
                <c:pt idx="1">
                  <c:v>1-2 Miles</c:v>
                </c:pt>
                <c:pt idx="2">
                  <c:v>2-5 Miles</c:v>
                </c:pt>
                <c:pt idx="3">
                  <c:v>5-10 Miles</c:v>
                </c:pt>
                <c:pt idx="4">
                  <c:v>More than 10 miles</c:v>
                </c:pt>
              </c:strCache>
            </c:strRef>
          </c:cat>
          <c:val>
            <c:numRef>
              <c:f>'Pivot table'!$H$7:$H$12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5-DBA3-4FB0-80B1-471759F51374}"/>
            </c:ext>
          </c:extLst>
        </c:ser>
        <c:dLbls>
          <c:showLegendKey val="0"/>
          <c:showVal val="0"/>
          <c:showCatName val="0"/>
          <c:showSerName val="0"/>
          <c:showPercent val="0"/>
          <c:showBubbleSize val="0"/>
        </c:dLbls>
        <c:smooth val="0"/>
        <c:axId val="1236908559"/>
        <c:axId val="1236912399"/>
      </c:lineChart>
      <c:catAx>
        <c:axId val="1236908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12399"/>
        <c:crosses val="autoZero"/>
        <c:auto val="1"/>
        <c:lblAlgn val="ctr"/>
        <c:lblOffset val="100"/>
        <c:noMultiLvlLbl val="0"/>
      </c:catAx>
      <c:valAx>
        <c:axId val="123691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bikes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bike based on Age criteria</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722222222222224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4833333333333334E-2"/>
              <c:y val="-4.864574219889188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2388888888888889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2944444444444447E-2"/>
              <c:y val="-3.01272236803733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2944444444444447E-2"/>
              <c:y val="-3.01272236803733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4833333333333334E-2"/>
              <c:y val="-4.864574219889188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2388888888888889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0722222222222224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2944444444444447E-2"/>
              <c:y val="-3.012722368037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4833333333333334E-2"/>
              <c:y val="-4.8645742198891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2388888888888889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0722222222222224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6920903954802313E-2"/>
              <c:y val="3.3474692978192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604519774011299E-2"/>
              <c:y val="-5.4050824665435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864B-49D1-8B8F-51851096F4A5}"/>
              </c:ext>
            </c:extLst>
          </c:dPt>
          <c:dLbls>
            <c:dLbl>
              <c:idx val="1"/>
              <c:layout>
                <c:manualLayout>
                  <c:x val="-1.4604519774011299E-2"/>
                  <c:y val="-5.4050824665435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4B-49D1-8B8F-51851096F4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table'!$B$19:$B$22</c:f>
              <c:strCache>
                <c:ptCount val="3"/>
                <c:pt idx="0">
                  <c:v>MIDDLE AGED(30-54)</c:v>
                </c:pt>
                <c:pt idx="1">
                  <c:v>OLD(55-89)</c:v>
                </c:pt>
                <c:pt idx="2">
                  <c:v>ADOLESCENT(1-29)</c:v>
                </c:pt>
              </c:strCache>
            </c:strRef>
          </c:cat>
          <c:val>
            <c:numRef>
              <c:f>'Pivot table'!$C$19:$C$22</c:f>
              <c:numCache>
                <c:formatCode>General</c:formatCode>
                <c:ptCount val="3"/>
                <c:pt idx="0">
                  <c:v>349</c:v>
                </c:pt>
                <c:pt idx="1">
                  <c:v>134</c:v>
                </c:pt>
                <c:pt idx="2">
                  <c:v>48</c:v>
                </c:pt>
              </c:numCache>
            </c:numRef>
          </c:val>
          <c:smooth val="0"/>
          <c:extLst>
            <c:ext xmlns:c16="http://schemas.microsoft.com/office/drawing/2014/chart" uri="{C3380CC4-5D6E-409C-BE32-E72D297353CC}">
              <c16:uniqueId val="{00000002-864B-49D1-8B8F-51851096F4A5}"/>
            </c:ext>
          </c:extLst>
        </c:ser>
        <c:ser>
          <c:idx val="1"/>
          <c:order val="1"/>
          <c:tx>
            <c:strRef>
              <c:f>'Pivot table'!$D$17:$D$18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864B-49D1-8B8F-51851096F4A5}"/>
              </c:ext>
            </c:extLst>
          </c:dPt>
          <c:dLbls>
            <c:dLbl>
              <c:idx val="1"/>
              <c:layout>
                <c:manualLayout>
                  <c:x val="-2.6920903954802313E-2"/>
                  <c:y val="3.3474692978192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4B-49D1-8B8F-51851096F4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table'!$B$19:$B$22</c:f>
              <c:strCache>
                <c:ptCount val="3"/>
                <c:pt idx="0">
                  <c:v>MIDDLE AGED(30-54)</c:v>
                </c:pt>
                <c:pt idx="1">
                  <c:v>OLD(55-89)</c:v>
                </c:pt>
                <c:pt idx="2">
                  <c:v>ADOLESCENT(1-29)</c:v>
                </c:pt>
              </c:strCache>
            </c:strRef>
          </c:cat>
          <c:val>
            <c:numRef>
              <c:f>'Pivot table'!$D$19:$D$22</c:f>
              <c:numCache>
                <c:formatCode>General</c:formatCode>
                <c:ptCount val="3"/>
                <c:pt idx="0">
                  <c:v>397</c:v>
                </c:pt>
                <c:pt idx="1">
                  <c:v>61</c:v>
                </c:pt>
                <c:pt idx="2">
                  <c:v>37</c:v>
                </c:pt>
              </c:numCache>
            </c:numRef>
          </c:val>
          <c:smooth val="0"/>
          <c:extLst>
            <c:ext xmlns:c16="http://schemas.microsoft.com/office/drawing/2014/chart" uri="{C3380CC4-5D6E-409C-BE32-E72D297353CC}">
              <c16:uniqueId val="{00000005-864B-49D1-8B8F-51851096F4A5}"/>
            </c:ext>
          </c:extLst>
        </c:ser>
        <c:dLbls>
          <c:dLblPos val="t"/>
          <c:showLegendKey val="0"/>
          <c:showVal val="1"/>
          <c:showCatName val="0"/>
          <c:showSerName val="0"/>
          <c:showPercent val="0"/>
          <c:showBubbleSize val="0"/>
        </c:dLbls>
        <c:marker val="1"/>
        <c:smooth val="0"/>
        <c:axId val="1236915279"/>
        <c:axId val="1236907119"/>
      </c:lineChart>
      <c:catAx>
        <c:axId val="123691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07119"/>
        <c:crosses val="autoZero"/>
        <c:auto val="1"/>
        <c:lblAlgn val="ctr"/>
        <c:lblOffset val="100"/>
        <c:noMultiLvlLbl val="0"/>
      </c:catAx>
      <c:valAx>
        <c:axId val="123690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1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259080</xdr:colOff>
      <xdr:row>0</xdr:row>
      <xdr:rowOff>0</xdr:rowOff>
    </xdr:from>
    <xdr:ext cx="6659880" cy="678180"/>
    <xdr:sp macro="" textlink="">
      <xdr:nvSpPr>
        <xdr:cNvPr id="2" name="TextBox 1">
          <a:extLst>
            <a:ext uri="{FF2B5EF4-FFF2-40B4-BE49-F238E27FC236}">
              <a16:creationId xmlns:a16="http://schemas.microsoft.com/office/drawing/2014/main" id="{829AC299-2139-1239-D198-EEF9D5AFD645}"/>
            </a:ext>
          </a:extLst>
        </xdr:cNvPr>
        <xdr:cNvSpPr txBox="1"/>
      </xdr:nvSpPr>
      <xdr:spPr>
        <a:xfrm>
          <a:off x="2697480" y="0"/>
          <a:ext cx="6659880" cy="67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bg1"/>
              </a:solidFill>
            </a:rPr>
            <a:t>                            BIKE SALES ANALYSIS DASHBOARD</a:t>
          </a:r>
        </a:p>
      </xdr:txBody>
    </xdr:sp>
    <xdr:clientData/>
  </xdr:oneCellAnchor>
  <xdr:twoCellAnchor>
    <xdr:from>
      <xdr:col>3</xdr:col>
      <xdr:colOff>205740</xdr:colOff>
      <xdr:row>4</xdr:row>
      <xdr:rowOff>22860</xdr:rowOff>
    </xdr:from>
    <xdr:to>
      <xdr:col>11</xdr:col>
      <xdr:colOff>320040</xdr:colOff>
      <xdr:row>16</xdr:row>
      <xdr:rowOff>137160</xdr:rowOff>
    </xdr:to>
    <xdr:graphicFrame macro="">
      <xdr:nvGraphicFramePr>
        <xdr:cNvPr id="3" name="Chart 2">
          <a:extLst>
            <a:ext uri="{FF2B5EF4-FFF2-40B4-BE49-F238E27FC236}">
              <a16:creationId xmlns:a16="http://schemas.microsoft.com/office/drawing/2014/main" id="{F2833297-3A3D-42F7-8FD8-382BDB334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312420</xdr:colOff>
      <xdr:row>4</xdr:row>
      <xdr:rowOff>0</xdr:rowOff>
    </xdr:from>
    <xdr:to>
      <xdr:col>18</xdr:col>
      <xdr:colOff>289560</xdr:colOff>
      <xdr:row>16</xdr:row>
      <xdr:rowOff>137160</xdr:rowOff>
    </xdr:to>
    <xdr:graphicFrame macro="">
      <xdr:nvGraphicFramePr>
        <xdr:cNvPr id="4" name="Chart 3">
          <a:extLst>
            <a:ext uri="{FF2B5EF4-FFF2-40B4-BE49-F238E27FC236}">
              <a16:creationId xmlns:a16="http://schemas.microsoft.com/office/drawing/2014/main" id="{EC2C1857-9C21-4B94-9CB9-FBE3716A4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220980</xdr:colOff>
      <xdr:row>16</xdr:row>
      <xdr:rowOff>137160</xdr:rowOff>
    </xdr:from>
    <xdr:to>
      <xdr:col>18</xdr:col>
      <xdr:colOff>297180</xdr:colOff>
      <xdr:row>30</xdr:row>
      <xdr:rowOff>45720</xdr:rowOff>
    </xdr:to>
    <xdr:graphicFrame macro="">
      <xdr:nvGraphicFramePr>
        <xdr:cNvPr id="5" name="Chart 4">
          <a:extLst>
            <a:ext uri="{FF2B5EF4-FFF2-40B4-BE49-F238E27FC236}">
              <a16:creationId xmlns:a16="http://schemas.microsoft.com/office/drawing/2014/main" id="{6E2ECBF2-257E-441F-A80E-C1A1E98DC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4</xdr:row>
      <xdr:rowOff>7621</xdr:rowOff>
    </xdr:from>
    <xdr:to>
      <xdr:col>3</xdr:col>
      <xdr:colOff>60960</xdr:colOff>
      <xdr:row>8</xdr:row>
      <xdr:rowOff>175261</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87710471-48C7-3150-4F8B-E726C3503355}"/>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60960" y="7391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9</xdr:row>
      <xdr:rowOff>45721</xdr:rowOff>
    </xdr:from>
    <xdr:to>
      <xdr:col>3</xdr:col>
      <xdr:colOff>53340</xdr:colOff>
      <xdr:row>18</xdr:row>
      <xdr:rowOff>60961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4912D85-DD3E-D919-A67B-A5F3D2477E7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3340" y="169164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4</xdr:row>
      <xdr:rowOff>38101</xdr:rowOff>
    </xdr:from>
    <xdr:to>
      <xdr:col>21</xdr:col>
      <xdr:colOff>464820</xdr:colOff>
      <xdr:row>13</xdr:row>
      <xdr:rowOff>30481</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AC935912-D01F-8EA8-5812-1B33FDCFB21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43762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13</xdr:row>
      <xdr:rowOff>99061</xdr:rowOff>
    </xdr:from>
    <xdr:to>
      <xdr:col>21</xdr:col>
      <xdr:colOff>480060</xdr:colOff>
      <xdr:row>19</xdr:row>
      <xdr:rowOff>160021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D232864-D6BB-D104-BF1A-630F5DBEEB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52860" y="24765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6083.848501388886" createdVersion="8" refreshedVersion="8" minRefreshableVersion="3" recordCount="1026" xr:uid="{57CD209C-B185-465F-B59F-BB536E1C7CD9}">
  <cacheSource type="worksheet">
    <worksheetSource ref="A1:N1027"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D(30-54)"/>
        <s v="OLD(55-89)"/>
        <s v="ADOLESCENT(1-29)"/>
        <s v="MIDDLE AGED"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84912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0"/>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0"/>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0"/>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0"/>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0"/>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0"/>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0"/>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0"/>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0"/>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0"/>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0"/>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0"/>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0"/>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0"/>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0"/>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0"/>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0"/>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0"/>
    <x v="0"/>
  </r>
  <r>
    <n v="11699"/>
    <x v="1"/>
    <x v="1"/>
    <n v="60000"/>
    <n v="0"/>
    <x v="0"/>
    <x v="0"/>
    <s v="No"/>
    <n v="2"/>
    <x v="0"/>
    <x v="2"/>
    <n v="30"/>
    <x v="0"/>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0"/>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0"/>
    <x v="0"/>
  </r>
  <r>
    <n v="14913"/>
    <x v="0"/>
    <x v="0"/>
    <n v="40000"/>
    <n v="1"/>
    <x v="1"/>
    <x v="1"/>
    <s v="Yes"/>
    <n v="1"/>
    <x v="3"/>
    <x v="2"/>
    <n v="48"/>
    <x v="0"/>
    <x v="1"/>
  </r>
  <r>
    <n v="14077"/>
    <x v="1"/>
    <x v="1"/>
    <n v="30000"/>
    <n v="0"/>
    <x v="2"/>
    <x v="0"/>
    <s v="Yes"/>
    <n v="2"/>
    <x v="2"/>
    <x v="2"/>
    <n v="30"/>
    <x v="0"/>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0"/>
    <x v="0"/>
  </r>
  <r>
    <n v="21660"/>
    <x v="0"/>
    <x v="0"/>
    <n v="60000"/>
    <n v="3"/>
    <x v="4"/>
    <x v="2"/>
    <s v="Yes"/>
    <n v="0"/>
    <x v="1"/>
    <x v="2"/>
    <n v="43"/>
    <x v="0"/>
    <x v="1"/>
  </r>
  <r>
    <n v="17012"/>
    <x v="0"/>
    <x v="0"/>
    <n v="60000"/>
    <n v="3"/>
    <x v="4"/>
    <x v="2"/>
    <s v="Yes"/>
    <n v="0"/>
    <x v="1"/>
    <x v="2"/>
    <n v="42"/>
    <x v="0"/>
    <x v="1"/>
  </r>
  <r>
    <n v="24514"/>
    <x v="0"/>
    <x v="1"/>
    <n v="40000"/>
    <n v="0"/>
    <x v="1"/>
    <x v="0"/>
    <s v="Yes"/>
    <n v="1"/>
    <x v="2"/>
    <x v="2"/>
    <n v="30"/>
    <x v="0"/>
    <x v="0"/>
  </r>
  <r>
    <n v="27505"/>
    <x v="1"/>
    <x v="0"/>
    <n v="40000"/>
    <n v="0"/>
    <x v="2"/>
    <x v="0"/>
    <s v="Yes"/>
    <n v="2"/>
    <x v="2"/>
    <x v="2"/>
    <n v="30"/>
    <x v="0"/>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0"/>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0"/>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r>
    <n v="13507"/>
    <x v="0"/>
    <x v="0"/>
    <n v="10000"/>
    <n v="2"/>
    <x v="1"/>
    <x v="3"/>
    <s v="Yes"/>
    <n v="0"/>
    <x v="3"/>
    <x v="0"/>
    <n v="50"/>
    <x v="0"/>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E0E74-8F31-496C-89AE-164B832532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5:I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9" count="1" selected="0">
            <x v="0"/>
          </reference>
          <reference field="13" count="1" selected="0">
            <x v="1"/>
          </reference>
        </references>
      </pivotArea>
    </chartFormat>
    <chartFormat chart="0" format="4">
      <pivotArea type="data" outline="0" fieldPosition="0">
        <references count="3">
          <reference field="4294967294" count="1" selected="0">
            <x v="0"/>
          </reference>
          <reference field="9" count="1" selected="0">
            <x v="4"/>
          </reference>
          <reference field="13" count="1" selected="0">
            <x v="1"/>
          </reference>
        </references>
      </pivotArea>
    </chartFormat>
    <chartFormat chart="0" format="5">
      <pivotArea type="data" outline="0" fieldPosition="0">
        <references count="3">
          <reference field="4294967294" count="1" selected="0">
            <x v="0"/>
          </reference>
          <reference field="9" count="1" selected="0">
            <x v="5"/>
          </reference>
          <reference field="13" count="1" selected="0">
            <x v="0"/>
          </reference>
        </references>
      </pivotArea>
    </chartFormat>
    <chartFormat chart="0" format="6">
      <pivotArea type="data" outline="0" fieldPosition="0">
        <references count="3">
          <reference field="4294967294" count="1" selected="0">
            <x v="0"/>
          </reference>
          <reference field="9" count="1" selected="0">
            <x v="5"/>
          </reference>
          <reference field="13" count="1" selected="0">
            <x v="1"/>
          </reference>
        </references>
      </pivotArea>
    </chartFormat>
    <chartFormat chart="2" format="13" series="1">
      <pivotArea type="data" outline="0" fieldPosition="0">
        <references count="2">
          <reference field="4294967294" count="1" selected="0">
            <x v="0"/>
          </reference>
          <reference field="13" count="1" selected="0">
            <x v="0"/>
          </reference>
        </references>
      </pivotArea>
    </chartFormat>
    <chartFormat chart="2" format="14">
      <pivotArea type="data" outline="0" fieldPosition="0">
        <references count="3">
          <reference field="4294967294" count="1" selected="0">
            <x v="0"/>
          </reference>
          <reference field="9" count="1" selected="0">
            <x v="5"/>
          </reference>
          <reference field="13" count="1" selected="0">
            <x v="0"/>
          </reference>
        </references>
      </pivotArea>
    </chartFormat>
    <chartFormat chart="2" format="15" series="1">
      <pivotArea type="data" outline="0" fieldPosition="0">
        <references count="2">
          <reference field="4294967294" count="1" selected="0">
            <x v="0"/>
          </reference>
          <reference field="13" count="1" selected="0">
            <x v="1"/>
          </reference>
        </references>
      </pivotArea>
    </chartFormat>
    <chartFormat chart="2" format="16">
      <pivotArea type="data" outline="0" fieldPosition="0">
        <references count="3">
          <reference field="4294967294" count="1" selected="0">
            <x v="0"/>
          </reference>
          <reference field="9" count="1" selected="0">
            <x v="0"/>
          </reference>
          <reference field="13" count="1" selected="0">
            <x v="1"/>
          </reference>
        </references>
      </pivotArea>
    </chartFormat>
    <chartFormat chart="2" format="17">
      <pivotArea type="data" outline="0" fieldPosition="0">
        <references count="3">
          <reference field="4294967294" count="1" selected="0">
            <x v="0"/>
          </reference>
          <reference field="9" count="1" selected="0">
            <x v="4"/>
          </reference>
          <reference field="13" count="1" selected="0">
            <x v="1"/>
          </reference>
        </references>
      </pivotArea>
    </chartFormat>
    <chartFormat chart="2" format="18">
      <pivotArea type="data" outline="0" fieldPosition="0">
        <references count="3">
          <reference field="4294967294" count="1" selected="0">
            <x v="0"/>
          </reference>
          <reference field="9"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F628F-5261-4824-BCDB-BAA3D54BCF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1" firstHeaderRow="1" firstDataRow="1"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2">
    <field x="2"/>
    <field x="13"/>
  </rowFields>
  <rowItems count="7">
    <i>
      <x/>
    </i>
    <i r="1">
      <x/>
    </i>
    <i r="1">
      <x v="1"/>
    </i>
    <i>
      <x v="1"/>
    </i>
    <i r="1">
      <x/>
    </i>
    <i r="1">
      <x v="1"/>
    </i>
    <i t="grand">
      <x/>
    </i>
  </rowItems>
  <colItems count="1">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7178E-6A26-4701-A079-FB6BB5E127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E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2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12" count="1" selected="0">
            <x v="2"/>
          </reference>
          <reference field="13" count="1" selected="0">
            <x v="1"/>
          </reference>
        </references>
      </pivotArea>
    </chartFormat>
    <chartFormat chart="1" format="3">
      <pivotArea type="data" outline="0" fieldPosition="0">
        <references count="3">
          <reference field="4294967294" count="1" selected="0">
            <x v="0"/>
          </reference>
          <reference field="12" count="1" selected="0">
            <x v="2"/>
          </reference>
          <reference field="13" count="1" selected="0">
            <x v="0"/>
          </reference>
        </references>
      </pivotArea>
    </chartFormat>
    <chartFormat chart="1" format="4">
      <pivotArea type="data" outline="0" fieldPosition="0">
        <references count="3">
          <reference field="4294967294" count="1" selected="0">
            <x v="0"/>
          </reference>
          <reference field="12" count="1" selected="0">
            <x v="0"/>
          </reference>
          <reference field="13" count="1" selected="0">
            <x v="1"/>
          </reference>
        </references>
      </pivotArea>
    </chartFormat>
    <chartFormat chart="1" format="5">
      <pivotArea type="data" outline="0" fieldPosition="0">
        <references count="3">
          <reference field="4294967294" count="1" selected="0">
            <x v="0"/>
          </reference>
          <reference field="12"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3">
          <reference field="4294967294" count="1" selected="0">
            <x v="0"/>
          </reference>
          <reference field="12" count="1" selected="0">
            <x v="0"/>
          </reference>
          <reference field="13" count="1" selected="0">
            <x v="0"/>
          </reference>
        </references>
      </pivotArea>
    </chartFormat>
    <chartFormat chart="2" format="8">
      <pivotArea type="data" outline="0" fieldPosition="0">
        <references count="3">
          <reference field="4294967294" count="1" selected="0">
            <x v="0"/>
          </reference>
          <reference field="12" count="1" selected="0">
            <x v="2"/>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pivotArea type="data" outline="0" fieldPosition="0">
        <references count="3">
          <reference field="4294967294" count="1" selected="0">
            <x v="0"/>
          </reference>
          <reference field="12" count="1" selected="0">
            <x v="0"/>
          </reference>
          <reference field="13" count="1" selected="0">
            <x v="1"/>
          </reference>
        </references>
      </pivotArea>
    </chartFormat>
    <chartFormat chart="2" format="11">
      <pivotArea type="data" outline="0" fieldPosition="0">
        <references count="3">
          <reference field="4294967294" count="1" selected="0">
            <x v="0"/>
          </reference>
          <reference field="12" count="1" selected="0">
            <x v="2"/>
          </reference>
          <reference field="13" count="1" selected="0">
            <x v="1"/>
          </reference>
        </references>
      </pivotArea>
    </chartFormat>
    <chartFormat chart="3" format="12" series="1">
      <pivotArea type="data" outline="0" fieldPosition="0">
        <references count="2">
          <reference field="4294967294" count="1" selected="0">
            <x v="0"/>
          </reference>
          <reference field="13" count="1" selected="0">
            <x v="0"/>
          </reference>
        </references>
      </pivotArea>
    </chartFormat>
    <chartFormat chart="3" format="13">
      <pivotArea type="data" outline="0" fieldPosition="0">
        <references count="3">
          <reference field="4294967294" count="1" selected="0">
            <x v="0"/>
          </reference>
          <reference field="12" count="1" selected="0">
            <x v="0"/>
          </reference>
          <reference field="13" count="1" selected="0">
            <x v="0"/>
          </reference>
        </references>
      </pivotArea>
    </chartFormat>
    <chartFormat chart="3" format="14">
      <pivotArea type="data" outline="0" fieldPosition="0">
        <references count="3">
          <reference field="4294967294" count="1" selected="0">
            <x v="0"/>
          </reference>
          <reference field="12" count="1" selected="0">
            <x v="2"/>
          </reference>
          <reference field="13" count="1" selected="0">
            <x v="0"/>
          </reference>
        </references>
      </pivotArea>
    </chartFormat>
    <chartFormat chart="3" format="15" series="1">
      <pivotArea type="data" outline="0" fieldPosition="0">
        <references count="2">
          <reference field="4294967294" count="1" selected="0">
            <x v="0"/>
          </reference>
          <reference field="13" count="1" selected="0">
            <x v="1"/>
          </reference>
        </references>
      </pivotArea>
    </chartFormat>
    <chartFormat chart="3" format="16">
      <pivotArea type="data" outline="0" fieldPosition="0">
        <references count="3">
          <reference field="4294967294" count="1" selected="0">
            <x v="0"/>
          </reference>
          <reference field="12" count="1" selected="0">
            <x v="0"/>
          </reference>
          <reference field="13" count="1" selected="0">
            <x v="1"/>
          </reference>
        </references>
      </pivotArea>
    </chartFormat>
    <chartFormat chart="3" format="17">
      <pivotArea type="data" outline="0" fieldPosition="0">
        <references count="3">
          <reference field="4294967294" count="1" selected="0">
            <x v="0"/>
          </reference>
          <reference field="12" count="1" selected="0">
            <x v="2"/>
          </reference>
          <reference field="13" count="1" selected="0">
            <x v="1"/>
          </reference>
        </references>
      </pivotArea>
    </chartFormat>
    <chartFormat chart="1" format="6">
      <pivotArea type="data" outline="0" fieldPosition="0">
        <references count="3">
          <reference field="4294967294" count="1" selected="0">
            <x v="0"/>
          </reference>
          <reference field="12" count="1" selected="0">
            <x v="4"/>
          </reference>
          <reference field="13" count="1" selected="0">
            <x v="1"/>
          </reference>
        </references>
      </pivotArea>
    </chartFormat>
    <chartFormat chart="1" format="7">
      <pivotArea type="data" outline="0" fieldPosition="0">
        <references count="3">
          <reference field="4294967294" count="1" selected="0">
            <x v="0"/>
          </reference>
          <reference field="12" count="1" selected="0">
            <x v="4"/>
          </reference>
          <reference field="13" count="1" selected="0">
            <x v="0"/>
          </reference>
        </references>
      </pivotArea>
    </chartFormat>
    <chartFormat chart="3" format="18">
      <pivotArea type="data" outline="0" fieldPosition="0">
        <references count="3">
          <reference field="4294967294" count="1" selected="0">
            <x v="0"/>
          </reference>
          <reference field="12" count="1" selected="0">
            <x v="4"/>
          </reference>
          <reference field="13" count="1" selected="0">
            <x v="1"/>
          </reference>
        </references>
      </pivotArea>
    </chartFormat>
    <chartFormat chart="3" format="19">
      <pivotArea type="data" outline="0" fieldPosition="0">
        <references count="3">
          <reference field="4294967294" count="1" selected="0">
            <x v="0"/>
          </reference>
          <reference field="12" count="1" selected="0">
            <x v="4"/>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44CE8A35-A6B2-4E4E-B9E0-F19D46EA2232}" sourceName="Martial Status">
  <pivotTables>
    <pivotTable tabId="4" name="PivotTable1"/>
    <pivotTable tabId="4" name="PivotTable2"/>
    <pivotTable tabId="4" name="PivotTable3"/>
  </pivotTables>
  <data>
    <tabular pivotCacheId="6849123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C17D9D-9B10-4E02-8A58-A798936994E0}" sourceName="Education">
  <pivotTables>
    <pivotTable tabId="4" name="PivotTable1"/>
    <pivotTable tabId="4" name="PivotTable2"/>
    <pivotTable tabId="4" name="PivotTable3"/>
  </pivotTables>
  <data>
    <tabular pivotCacheId="6849123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3514233-C4FC-4E16-B9B1-4BD5EB76FC33}" sourceName="Occupation">
  <pivotTables>
    <pivotTable tabId="4" name="PivotTable1"/>
    <pivotTable tabId="4" name="PivotTable2"/>
    <pivotTable tabId="4" name="PivotTable3"/>
  </pivotTables>
  <data>
    <tabular pivotCacheId="68491232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075B84-F951-438B-A786-991B8CD03808}" sourceName="Region">
  <pivotTables>
    <pivotTable tabId="4" name="PivotTable1"/>
    <pivotTable tabId="4" name="PivotTable2"/>
    <pivotTable tabId="4" name="PivotTable3"/>
  </pivotTables>
  <data>
    <tabular pivotCacheId="6849123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D200AD0A-2D9D-45D3-9312-F96EBA4BD135}" cache="Slicer_Martial_Status" caption="Martial Status" rowHeight="234950"/>
  <slicer name="Education" xr10:uid="{A3814CCF-C718-4F8C-B51F-0D3AE2D45C41}" cache="Slicer_Education" caption="Education" rowHeight="234950"/>
  <slicer name="Occupation" xr10:uid="{BFBEADDE-DEE6-4495-94DB-8FD21EDA7F3D}" cache="Slicer_Occupation" caption="Occupation" rowHeight="234950"/>
  <slicer name="Region" xr10:uid="{C1D614DC-1791-40DA-A5AC-8B5AD2FEEA2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7"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6C9D-1B93-4008-8D69-664BE993133F}">
  <dimension ref="A1:N1027"/>
  <sheetViews>
    <sheetView workbookViewId="0">
      <selection activeCell="M2" sqref="M2:M1027"/>
    </sheetView>
  </sheetViews>
  <sheetFormatPr defaultColWidth="11.88671875" defaultRowHeight="14.4" x14ac:dyDescent="0.3"/>
  <cols>
    <col min="2" max="2" width="20.109375" customWidth="1"/>
    <col min="5" max="5" width="15.21875" customWidth="1"/>
    <col min="6" max="6" width="16.88671875" customWidth="1"/>
    <col min="7" max="7" width="24.109375" customWidth="1"/>
    <col min="8" max="8" width="13.6640625" customWidth="1"/>
    <col min="9" max="9" width="6.109375" customWidth="1"/>
    <col min="10" max="10" width="17" customWidth="1"/>
    <col min="13" max="13" width="18.88671875" customWidth="1"/>
    <col min="14" max="14" width="15.44140625"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IF(L2&gt;54,"OLD(55-89)",IF(L2&gt;=30,"MIDDLE AGED(30-54)",IF(L2&lt;30,"ADOLESCENT(1-29)","INVALID")))</f>
        <v>MIDDLE AGED(30-54)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IF(L3&gt;54,"OLD(55-89)",IF(L3&gt;=30,"MIDDLE AGED(30-54)",IF(L3&lt;30,"ADOLESCENT(1-29)","INVALID")))</f>
        <v>MIDDLE AGED(30-54)</v>
      </c>
      <c r="N3" t="s">
        <v>18</v>
      </c>
    </row>
    <row r="4" spans="1:14" x14ac:dyDescent="0.3">
      <c r="A4">
        <v>14177</v>
      </c>
      <c r="B4" t="s">
        <v>36</v>
      </c>
      <c r="C4" t="s">
        <v>39</v>
      </c>
      <c r="D4" s="3">
        <v>80000</v>
      </c>
      <c r="E4">
        <v>5</v>
      </c>
      <c r="F4" t="s">
        <v>19</v>
      </c>
      <c r="G4" t="s">
        <v>21</v>
      </c>
      <c r="H4" t="s">
        <v>18</v>
      </c>
      <c r="I4">
        <v>2</v>
      </c>
      <c r="J4" t="s">
        <v>22</v>
      </c>
      <c r="K4" t="s">
        <v>17</v>
      </c>
      <c r="L4">
        <v>60</v>
      </c>
      <c r="M4" t="str">
        <f t="shared" si="0"/>
        <v>OLD(55-89)</v>
      </c>
      <c r="N4" t="s">
        <v>18</v>
      </c>
    </row>
    <row r="5" spans="1:14" x14ac:dyDescent="0.3">
      <c r="A5">
        <v>24381</v>
      </c>
      <c r="B5" t="s">
        <v>37</v>
      </c>
      <c r="C5" t="s">
        <v>39</v>
      </c>
      <c r="D5" s="3">
        <v>70000</v>
      </c>
      <c r="E5">
        <v>0</v>
      </c>
      <c r="F5" t="s">
        <v>13</v>
      </c>
      <c r="G5" t="s">
        <v>21</v>
      </c>
      <c r="H5" t="s">
        <v>15</v>
      </c>
      <c r="I5">
        <v>1</v>
      </c>
      <c r="J5" t="s">
        <v>23</v>
      </c>
      <c r="K5" t="s">
        <v>24</v>
      </c>
      <c r="L5">
        <v>41</v>
      </c>
      <c r="M5" t="str">
        <f t="shared" si="0"/>
        <v>MIDDLE AGED(30-54)</v>
      </c>
      <c r="N5" t="s">
        <v>15</v>
      </c>
    </row>
    <row r="6" spans="1:14" x14ac:dyDescent="0.3">
      <c r="A6">
        <v>25597</v>
      </c>
      <c r="B6" t="s">
        <v>37</v>
      </c>
      <c r="C6" t="s">
        <v>39</v>
      </c>
      <c r="D6" s="3">
        <v>30000</v>
      </c>
      <c r="E6">
        <v>0</v>
      </c>
      <c r="F6" t="s">
        <v>13</v>
      </c>
      <c r="G6" t="s">
        <v>20</v>
      </c>
      <c r="H6" t="s">
        <v>18</v>
      </c>
      <c r="I6">
        <v>0</v>
      </c>
      <c r="J6" t="s">
        <v>16</v>
      </c>
      <c r="K6" t="s">
        <v>17</v>
      </c>
      <c r="L6">
        <v>36</v>
      </c>
      <c r="M6" t="str">
        <f t="shared" si="0"/>
        <v>MIDDLE AGED(30-54)</v>
      </c>
      <c r="N6" t="s">
        <v>15</v>
      </c>
    </row>
    <row r="7" spans="1:14" x14ac:dyDescent="0.3">
      <c r="A7">
        <v>13507</v>
      </c>
      <c r="B7" t="s">
        <v>36</v>
      </c>
      <c r="C7" t="s">
        <v>40</v>
      </c>
      <c r="D7" s="3">
        <v>10000</v>
      </c>
      <c r="E7">
        <v>2</v>
      </c>
      <c r="F7" t="s">
        <v>19</v>
      </c>
      <c r="G7" t="s">
        <v>25</v>
      </c>
      <c r="H7" t="s">
        <v>15</v>
      </c>
      <c r="I7">
        <v>0</v>
      </c>
      <c r="J7" t="s">
        <v>26</v>
      </c>
      <c r="K7" t="s">
        <v>17</v>
      </c>
      <c r="L7">
        <v>50</v>
      </c>
      <c r="M7" t="str">
        <f t="shared" si="0"/>
        <v>MIDDLE AGED(30-54)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AGED(30-54)</v>
      </c>
      <c r="N8" t="s">
        <v>15</v>
      </c>
    </row>
    <row r="9" spans="1:14" x14ac:dyDescent="0.3">
      <c r="A9">
        <v>19364</v>
      </c>
      <c r="B9" t="s">
        <v>36</v>
      </c>
      <c r="C9" t="s">
        <v>39</v>
      </c>
      <c r="D9" s="3">
        <v>40000</v>
      </c>
      <c r="E9">
        <v>1</v>
      </c>
      <c r="F9" t="s">
        <v>13</v>
      </c>
      <c r="G9" t="s">
        <v>14</v>
      </c>
      <c r="H9" t="s">
        <v>15</v>
      </c>
      <c r="I9">
        <v>0</v>
      </c>
      <c r="J9" t="s">
        <v>16</v>
      </c>
      <c r="K9" t="s">
        <v>17</v>
      </c>
      <c r="L9">
        <v>43</v>
      </c>
      <c r="M9" t="str">
        <f t="shared" si="0"/>
        <v>MIDDLE AGED(30-54)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OLD(55-89)</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AGED(30-54)</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AGED(30-54)</v>
      </c>
      <c r="N12" t="s">
        <v>15</v>
      </c>
    </row>
    <row r="13" spans="1:14" x14ac:dyDescent="0.3">
      <c r="A13">
        <v>12697</v>
      </c>
      <c r="B13" t="s">
        <v>37</v>
      </c>
      <c r="C13" t="s">
        <v>40</v>
      </c>
      <c r="D13" s="3">
        <v>90000</v>
      </c>
      <c r="E13">
        <v>0</v>
      </c>
      <c r="F13" t="s">
        <v>13</v>
      </c>
      <c r="G13" t="s">
        <v>21</v>
      </c>
      <c r="H13" t="s">
        <v>18</v>
      </c>
      <c r="I13">
        <v>4</v>
      </c>
      <c r="J13" t="s">
        <v>47</v>
      </c>
      <c r="K13" t="s">
        <v>24</v>
      </c>
      <c r="L13">
        <v>36</v>
      </c>
      <c r="M13" t="str">
        <f t="shared" si="0"/>
        <v>MIDDLE AGED(30-54)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OLD(55-89)</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AGED(30-54)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AGED(30-54)</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AGED(30-54)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OLD(55-89)</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AGED(30-54)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AGED(30-54)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OLD(55-89)</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AGED(30-54)</v>
      </c>
      <c r="N22" t="s">
        <v>15</v>
      </c>
    </row>
    <row r="23" spans="1:14" x14ac:dyDescent="0.3">
      <c r="A23">
        <v>21564</v>
      </c>
      <c r="B23" t="s">
        <v>37</v>
      </c>
      <c r="C23" t="s">
        <v>40</v>
      </c>
      <c r="D23" s="3">
        <v>80000</v>
      </c>
      <c r="E23">
        <v>0</v>
      </c>
      <c r="F23" t="s">
        <v>13</v>
      </c>
      <c r="G23" t="s">
        <v>21</v>
      </c>
      <c r="H23" t="s">
        <v>15</v>
      </c>
      <c r="I23">
        <v>4</v>
      </c>
      <c r="J23" t="s">
        <v>47</v>
      </c>
      <c r="K23" t="s">
        <v>24</v>
      </c>
      <c r="L23">
        <v>35</v>
      </c>
      <c r="M23" t="str">
        <f t="shared" si="0"/>
        <v>MIDDLE AGED(30-54)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AGED(30-54)</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OLD(55-89)</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AGED(30-54)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OLD(55-89)</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ADOLESCENT(1-29)</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AGED(30-54)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AGED(30-54)</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AGED(30-54)</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OLD(55-89)</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ADOLESCENT(1-29)</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AGED(30-54)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AGED(30-54)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OLD(55-89)</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AGED(30-54)</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AGED(30-54)</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MIDDLE AGED(30-54)</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ADOLESCENT(1-29)</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AGED(30-54)</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AGED(30-54)</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OLD(55-89)</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AGED(30-54)</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AGED(30-54)</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AGED(30-54)</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OLD(55-89)</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AGED(30-54)</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AGED(30-54)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AGED(30-54)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AGED(30-54)</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ADOLESCENT(1-29)</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AGED(30-54)</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OLD(55-89)</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OLD(55-89)</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AGED(30-54)</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AGED(30-54)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AGED(30-54)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OLD(55-89)</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AGED(30-54)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AGED(30-54)</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AGED(30-54)</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AGED(30-54)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AGED(30-54)</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AGED(30-54)</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AGED(30-54)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IF(L67&gt;54,"OLD(55-89)",IF(L67&gt;=30,"MIDDLE AGED(30-54)",IF(L67&lt;30,"ADOLESCENT(1-29)","INVALID")))</f>
        <v>OLD(55-89)</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AGED(30-54)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AGED(30-54)</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AGED(30-54)</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MIDDLE AGED(30-54)</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AGED(30-54)</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AGED(30-54)</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AGED(30-54)</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AGED(30-54)</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OLD(55-89)</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AGED(30-54)</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ADOLESCENT(1-29)</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ADOLESCENT(1-29)</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AGED(30-54)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OLD(55-89)</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AGED(30-54)</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AGED(30-54)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AGED(30-54)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ADOLESCENT(1-29)</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AGED(30-54)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ADOLESCENT(1-29)</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AGED(30-54)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AGED(30-54)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ADOLESCENT(1-29)</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AGED(30-54)</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ADOLESCENT(1-29)</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MIDDLE AGED(30-54)</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AGED(30-54)</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AGED(30-54)</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OLD(55-89)</v>
      </c>
      <c r="N96" t="s">
        <v>18</v>
      </c>
    </row>
    <row r="97" spans="1:14" x14ac:dyDescent="0.3">
      <c r="A97">
        <v>17197</v>
      </c>
      <c r="B97" t="s">
        <v>37</v>
      </c>
      <c r="C97" t="s">
        <v>40</v>
      </c>
      <c r="D97" s="3">
        <v>90000</v>
      </c>
      <c r="E97">
        <v>5</v>
      </c>
      <c r="F97" t="s">
        <v>19</v>
      </c>
      <c r="G97" t="s">
        <v>21</v>
      </c>
      <c r="H97" t="s">
        <v>15</v>
      </c>
      <c r="I97">
        <v>2</v>
      </c>
      <c r="J97" t="s">
        <v>47</v>
      </c>
      <c r="K97" t="s">
        <v>17</v>
      </c>
      <c r="L97">
        <v>62</v>
      </c>
      <c r="M97" t="str">
        <f t="shared" si="1"/>
        <v>OLD(55-89)</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AGED(30-54)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AGED(30-54)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ADOLESCENT(1-29)</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AGED(30-54)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AGED(30-54)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AGED(30-54)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AGED(30-54)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AGED(30-54)</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AGED(30-54)</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MIDDLE AGED(30-54)</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AGED(30-54)</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AGED(30-54)</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AGED(30-54)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AGED(30-54)</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AGED(30-54)</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AGED(30-54)</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AGED(30-54)</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AGED(30-54)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ADOLESCENT(1-29)</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MIDDLE AGED(30-54)</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AGED(30-54)</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AGED(30-54)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OLD(55-89)</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ADOLESCENT(1-29)</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OLD(55-89)</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AGED(30-54)</v>
      </c>
      <c r="N123" t="s">
        <v>18</v>
      </c>
    </row>
    <row r="124" spans="1:14" x14ac:dyDescent="0.3">
      <c r="A124">
        <v>12344</v>
      </c>
      <c r="B124" t="s">
        <v>37</v>
      </c>
      <c r="C124" t="s">
        <v>40</v>
      </c>
      <c r="D124" s="3">
        <v>80000</v>
      </c>
      <c r="E124">
        <v>0</v>
      </c>
      <c r="F124" t="s">
        <v>13</v>
      </c>
      <c r="G124" t="s">
        <v>21</v>
      </c>
      <c r="H124" t="s">
        <v>18</v>
      </c>
      <c r="I124">
        <v>3</v>
      </c>
      <c r="J124" t="s">
        <v>47</v>
      </c>
      <c r="K124" t="s">
        <v>24</v>
      </c>
      <c r="L124">
        <v>31</v>
      </c>
      <c r="M124" t="str">
        <f t="shared" si="1"/>
        <v>MIDDLE AGED(30-54)</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OLD(55-89)</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AGED(30-54)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AGED(30-54)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AGED(30-54)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AGED(30-54)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AGED(30-54)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IF(L131&gt;54,"OLD(55-89)",IF(L131&gt;=30,"MIDDLE AGED(30-54)",IF(L131&lt;30,"ADOLESCENT(1-29)","INVALID")))</f>
        <v>MIDDLE AGED(30-54)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AGED(30-54)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OLD(55-89)</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AGED(30-54)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OLD(55-89)</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AGED(30-54)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AGED(30-54)</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AGED(30-54)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AGED(30-54)</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OLD(55-89)</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OLD(55-89)</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AGED(30-54)</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ADOLESCENT(1-29)</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AGED(30-54)</v>
      </c>
      <c r="N144" t="s">
        <v>15</v>
      </c>
    </row>
    <row r="145" spans="1:14" x14ac:dyDescent="0.3">
      <c r="A145">
        <v>16614</v>
      </c>
      <c r="B145" t="s">
        <v>36</v>
      </c>
      <c r="C145" t="s">
        <v>40</v>
      </c>
      <c r="D145" s="3">
        <v>80000</v>
      </c>
      <c r="E145">
        <v>0</v>
      </c>
      <c r="F145" t="s">
        <v>13</v>
      </c>
      <c r="G145" t="s">
        <v>21</v>
      </c>
      <c r="H145" t="s">
        <v>15</v>
      </c>
      <c r="I145">
        <v>3</v>
      </c>
      <c r="J145" t="s">
        <v>47</v>
      </c>
      <c r="K145" t="s">
        <v>24</v>
      </c>
      <c r="L145">
        <v>32</v>
      </c>
      <c r="M145" t="str">
        <f t="shared" si="2"/>
        <v>MIDDLE AGED(30-54)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AGED(30-54)</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AGED(30-54)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AGED(30-54)</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AGED(30-54)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OLD(55-89)</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ADOLESCENT(1-29)</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AGED(30-54)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AGED(30-54)</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AGED(30-54)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AGED(30-54)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AGED(30-54)</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AGED(30-54)</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OLD(55-89)</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AGED(30-54)</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AGED(30-54)</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AGED(30-54)</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AGED(30-54)</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AGED(30-54)</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AGED(30-54)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AGED(30-54)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ADOLESCENT(1-29)</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ADOLESCENT(1-29)</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AGED(30-54)</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AGED(30-54)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AGED(30-54)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AGED(30-54)</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OLD(55-89)</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OLD(55-89)</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AGED(30-54)</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ADOLESCENT(1-29)</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AGED(30-54)</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AGED(30-54)</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ADOLESCENT(1-29)</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AGED(30-54)</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OLD(55-89)</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AGED(30-54)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AGED(30-54)</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OLD(55-89)</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AGED(30-54)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OLD(55-89)</v>
      </c>
      <c r="N185" t="s">
        <v>15</v>
      </c>
    </row>
    <row r="186" spans="1:14" x14ac:dyDescent="0.3">
      <c r="A186">
        <v>28918</v>
      </c>
      <c r="B186" t="s">
        <v>36</v>
      </c>
      <c r="C186" t="s">
        <v>40</v>
      </c>
      <c r="D186" s="3">
        <v>130000</v>
      </c>
      <c r="E186">
        <v>4</v>
      </c>
      <c r="F186" t="s">
        <v>27</v>
      </c>
      <c r="G186" t="s">
        <v>28</v>
      </c>
      <c r="H186" t="s">
        <v>18</v>
      </c>
      <c r="I186">
        <v>4</v>
      </c>
      <c r="J186" t="s">
        <v>47</v>
      </c>
      <c r="K186" t="s">
        <v>17</v>
      </c>
      <c r="L186">
        <v>58</v>
      </c>
      <c r="M186" t="str">
        <f t="shared" si="2"/>
        <v>OLD(55-89)</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AGED(30-54)</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OLD(55-89)</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OLD(55-89)</v>
      </c>
      <c r="N189" t="s">
        <v>18</v>
      </c>
    </row>
    <row r="190" spans="1:14" x14ac:dyDescent="0.3">
      <c r="A190">
        <v>20606</v>
      </c>
      <c r="B190" t="s">
        <v>36</v>
      </c>
      <c r="C190" t="s">
        <v>40</v>
      </c>
      <c r="D190" s="3">
        <v>70000</v>
      </c>
      <c r="E190">
        <v>0</v>
      </c>
      <c r="F190" t="s">
        <v>13</v>
      </c>
      <c r="G190" t="s">
        <v>21</v>
      </c>
      <c r="H190" t="s">
        <v>15</v>
      </c>
      <c r="I190">
        <v>4</v>
      </c>
      <c r="J190" t="s">
        <v>47</v>
      </c>
      <c r="K190" t="s">
        <v>24</v>
      </c>
      <c r="L190">
        <v>32</v>
      </c>
      <c r="M190" t="str">
        <f t="shared" si="2"/>
        <v>MIDDLE AGED(30-54)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AGED(30-54)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OLD(55-89)</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AGED(30-54)</v>
      </c>
      <c r="N193" t="s">
        <v>15</v>
      </c>
    </row>
    <row r="194" spans="1:14" x14ac:dyDescent="0.3">
      <c r="A194">
        <v>15682</v>
      </c>
      <c r="B194" t="s">
        <v>37</v>
      </c>
      <c r="C194" t="s">
        <v>40</v>
      </c>
      <c r="D194" s="3">
        <v>80000</v>
      </c>
      <c r="E194">
        <v>5</v>
      </c>
      <c r="F194" t="s">
        <v>13</v>
      </c>
      <c r="G194" t="s">
        <v>28</v>
      </c>
      <c r="H194" t="s">
        <v>15</v>
      </c>
      <c r="I194">
        <v>2</v>
      </c>
      <c r="J194" t="s">
        <v>47</v>
      </c>
      <c r="K194" t="s">
        <v>17</v>
      </c>
      <c r="L194">
        <v>62</v>
      </c>
      <c r="M194" t="str">
        <f t="shared" si="2"/>
        <v>OLD(55-89)</v>
      </c>
      <c r="N194" t="s">
        <v>18</v>
      </c>
    </row>
    <row r="195" spans="1:14" x14ac:dyDescent="0.3">
      <c r="A195">
        <v>26032</v>
      </c>
      <c r="B195" t="s">
        <v>36</v>
      </c>
      <c r="C195" t="s">
        <v>40</v>
      </c>
      <c r="D195" s="3">
        <v>70000</v>
      </c>
      <c r="E195">
        <v>5</v>
      </c>
      <c r="F195" t="s">
        <v>13</v>
      </c>
      <c r="G195" t="s">
        <v>21</v>
      </c>
      <c r="H195" t="s">
        <v>15</v>
      </c>
      <c r="I195">
        <v>4</v>
      </c>
      <c r="J195" t="s">
        <v>47</v>
      </c>
      <c r="K195" t="s">
        <v>24</v>
      </c>
      <c r="L195">
        <v>41</v>
      </c>
      <c r="M195" t="str">
        <f t="shared" ref="M195:M258" si="3">IF(L195&gt;54,"OLD(55-89)",IF(L195&gt;=30,"MIDDLE AGED(30-54)",IF(L195&lt;30,"ADOLESCENT(1-29)","INVALID")))</f>
        <v>MIDDLE AGED(30-54)</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AGED(30-54)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ADOLESCENT(1-29)</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AGED(30-54)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OLD(55-89)</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AGED(30-54)</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AGED(30-54)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AGED(30-54)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ADOLESCENT(1-29)</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AGED(30-54)</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AGED(30-54)</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AGED(30-54)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AGED(30-54)</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OLD(55-89)</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ADOLESCENT(1-29)</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AGED(30-54)</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AGED(30-54)</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AGED(30-54)</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AGED(30-54)</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MIDDLE AGED(30-54)</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AGED(30-54)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OLD(55-89)</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AGED(30-54)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AGED(30-54)</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ADOLESCENT(1-29)</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AGED(30-54)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ADOLESCENT(1-29)</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AGED(30-54)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AGED(30-54)</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AGED(30-54)</v>
      </c>
      <c r="N224" t="s">
        <v>18</v>
      </c>
    </row>
    <row r="225" spans="1:14" x14ac:dyDescent="0.3">
      <c r="A225">
        <v>18711</v>
      </c>
      <c r="B225" t="s">
        <v>37</v>
      </c>
      <c r="C225" t="s">
        <v>40</v>
      </c>
      <c r="D225" s="3">
        <v>70000</v>
      </c>
      <c r="E225">
        <v>5</v>
      </c>
      <c r="F225" t="s">
        <v>13</v>
      </c>
      <c r="G225" t="s">
        <v>21</v>
      </c>
      <c r="H225" t="s">
        <v>15</v>
      </c>
      <c r="I225">
        <v>4</v>
      </c>
      <c r="J225" t="s">
        <v>47</v>
      </c>
      <c r="K225" t="s">
        <v>24</v>
      </c>
      <c r="L225">
        <v>39</v>
      </c>
      <c r="M225" t="str">
        <f t="shared" si="3"/>
        <v>MIDDLE AGED(30-54)</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OLD(55-89)</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AGED(30-54)</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AGED(30-54)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AGED(30-54)</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AGED(30-54)</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OLD(55-89)</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OLD(55-89)</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AGED(30-54)</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AGED(30-54)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ADOLESCENT(1-29)</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AGED(30-54)</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OLD(55-89)</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AGED(30-54)</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ADOLESCENT(1-29)</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AGED(30-54)</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AGED(30-54)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AGED(30-54)</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ADOLESCENT(1-29)</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AGED(30-54)</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ADOLESCENT(1-29)</v>
      </c>
      <c r="N245" t="s">
        <v>18</v>
      </c>
    </row>
    <row r="246" spans="1:14" x14ac:dyDescent="0.3">
      <c r="A246">
        <v>19057</v>
      </c>
      <c r="B246" t="s">
        <v>36</v>
      </c>
      <c r="C246" t="s">
        <v>40</v>
      </c>
      <c r="D246" s="3">
        <v>120000</v>
      </c>
      <c r="E246">
        <v>3</v>
      </c>
      <c r="F246" t="s">
        <v>13</v>
      </c>
      <c r="G246" t="s">
        <v>28</v>
      </c>
      <c r="H246" t="s">
        <v>18</v>
      </c>
      <c r="I246">
        <v>2</v>
      </c>
      <c r="J246" t="s">
        <v>47</v>
      </c>
      <c r="K246" t="s">
        <v>17</v>
      </c>
      <c r="L246">
        <v>52</v>
      </c>
      <c r="M246" t="str">
        <f t="shared" si="3"/>
        <v>MIDDLE AGED(30-54)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AGED(30-54)</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AGED(30-54)</v>
      </c>
      <c r="N248" t="s">
        <v>15</v>
      </c>
    </row>
    <row r="249" spans="1:14" x14ac:dyDescent="0.3">
      <c r="A249">
        <v>21568</v>
      </c>
      <c r="B249" t="s">
        <v>36</v>
      </c>
      <c r="C249" t="s">
        <v>40</v>
      </c>
      <c r="D249" s="3">
        <v>100000</v>
      </c>
      <c r="E249">
        <v>0</v>
      </c>
      <c r="F249" t="s">
        <v>27</v>
      </c>
      <c r="G249" t="s">
        <v>28</v>
      </c>
      <c r="H249" t="s">
        <v>15</v>
      </c>
      <c r="I249">
        <v>4</v>
      </c>
      <c r="J249" t="s">
        <v>47</v>
      </c>
      <c r="K249" t="s">
        <v>24</v>
      </c>
      <c r="L249">
        <v>34</v>
      </c>
      <c r="M249" t="str">
        <f t="shared" si="3"/>
        <v>MIDDLE AGED(30-54)</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OLD(55-89)</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AGED(30-54)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OLD(55-89)</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OLD(55-89)</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AGED(30-54)</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OLD(55-89)</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OLD(55-89)</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AGED(30-54)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AGED(30-54)</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IF(L259&gt;54,"OLD(55-89)",IF(L259&gt;=30,"MIDDLE AGED(30-54)",IF(L259&lt;30,"ADOLESCENT(1-29)","INVALID")))</f>
        <v>MIDDLE AGED(30-54)</v>
      </c>
      <c r="N259" t="s">
        <v>15</v>
      </c>
    </row>
    <row r="260" spans="1:14" x14ac:dyDescent="0.3">
      <c r="A260">
        <v>14193</v>
      </c>
      <c r="B260" t="s">
        <v>37</v>
      </c>
      <c r="C260" t="s">
        <v>40</v>
      </c>
      <c r="D260" s="3">
        <v>100000</v>
      </c>
      <c r="E260">
        <v>3</v>
      </c>
      <c r="F260" t="s">
        <v>19</v>
      </c>
      <c r="G260" t="s">
        <v>28</v>
      </c>
      <c r="H260" t="s">
        <v>15</v>
      </c>
      <c r="I260">
        <v>4</v>
      </c>
      <c r="J260" t="s">
        <v>47</v>
      </c>
      <c r="K260" t="s">
        <v>17</v>
      </c>
      <c r="L260">
        <v>56</v>
      </c>
      <c r="M260" t="str">
        <f t="shared" si="4"/>
        <v>OLD(55-89)</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AGED(30-54)</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AGED(30-54)</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AGED(30-54)</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AGED(30-54)</v>
      </c>
      <c r="N264" t="s">
        <v>18</v>
      </c>
    </row>
    <row r="265" spans="1:14" x14ac:dyDescent="0.3">
      <c r="A265">
        <v>23419</v>
      </c>
      <c r="B265" t="s">
        <v>37</v>
      </c>
      <c r="C265" t="s">
        <v>40</v>
      </c>
      <c r="D265" s="3">
        <v>70000</v>
      </c>
      <c r="E265">
        <v>5</v>
      </c>
      <c r="F265" t="s">
        <v>13</v>
      </c>
      <c r="G265" t="s">
        <v>21</v>
      </c>
      <c r="H265" t="s">
        <v>15</v>
      </c>
      <c r="I265">
        <v>3</v>
      </c>
      <c r="J265" t="s">
        <v>47</v>
      </c>
      <c r="K265" t="s">
        <v>24</v>
      </c>
      <c r="L265">
        <v>39</v>
      </c>
      <c r="M265" t="str">
        <f t="shared" si="4"/>
        <v>MIDDLE AGED(30-54)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AGED(30-54)</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AGED(30-54)</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ADOLESCENT(1-29)</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AGED(30-54)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AGED(30-54)</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AGED(30-54)</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AGED(30-54)</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ADOLESCENT(1-29)</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AGED(30-54)</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MIDDLE AGED(30-54)</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AGED(30-54)</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AGED(30-54)</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AGED(30-54)</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AGED(30-54)</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AGED(30-54)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AGED(30-54)</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AGED(30-54)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AGED(30-54)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AGED(30-54)</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AGED(30-54)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AGED(30-54)</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AGED(30-54)</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AGED(30-54)</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AGED(30-54)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AGED(30-54)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AGED(30-54)</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AGED(30-54)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AGED(30-54)</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AGED(30-54)</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AGED(30-54)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AGED(30-54)</v>
      </c>
      <c r="N296" t="s">
        <v>15</v>
      </c>
    </row>
    <row r="297" spans="1:14" x14ac:dyDescent="0.3">
      <c r="A297">
        <v>21557</v>
      </c>
      <c r="B297" t="s">
        <v>37</v>
      </c>
      <c r="C297" t="s">
        <v>40</v>
      </c>
      <c r="D297" s="3">
        <v>110000</v>
      </c>
      <c r="E297">
        <v>0</v>
      </c>
      <c r="F297" t="s">
        <v>19</v>
      </c>
      <c r="G297" t="s">
        <v>28</v>
      </c>
      <c r="H297" t="s">
        <v>15</v>
      </c>
      <c r="I297">
        <v>3</v>
      </c>
      <c r="J297" t="s">
        <v>47</v>
      </c>
      <c r="K297" t="s">
        <v>24</v>
      </c>
      <c r="L297">
        <v>32</v>
      </c>
      <c r="M297" t="str">
        <f t="shared" si="4"/>
        <v>MIDDLE AGED(30-54)</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AGED(30-54)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AGED(30-54)</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AGED(30-54)</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OLD(55-89)</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OLD(55-89)</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ADOLESCENT(1-29)</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OLD(55-89)</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AGED(30-54)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AGED(30-54)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OLD(55-89)</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AGED(30-54)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OLD(55-89)</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AGED(30-54)</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AGED(30-54)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AGED(30-54)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AGED(30-54)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OLD(55-89)</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AGED(30-54)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AGED(30-54)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AGED(30-54)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OLD(55-89)</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AGED(30-54)</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AGED(30-54)</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AGED(30-54)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AGED(30-54)</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IF(L323&gt;54,"OLD(55-89)",IF(L323&gt;=30,"MIDDLE AGED(30-54)",IF(L323&lt;30,"ADOLESCENT(1-29)","INVALID")))</f>
        <v>MIDDLE AGED(30-54)</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AGED(30-54)</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AGED(30-54)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AGED(30-54)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AGED(30-54)</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ADOLESCENT(1-29)</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AGED(30-54)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AGED(30-54)</v>
      </c>
      <c r="N330" t="s">
        <v>18</v>
      </c>
    </row>
    <row r="331" spans="1:14" x14ac:dyDescent="0.3">
      <c r="A331">
        <v>12663</v>
      </c>
      <c r="B331" t="s">
        <v>36</v>
      </c>
      <c r="C331" t="s">
        <v>40</v>
      </c>
      <c r="D331" s="3">
        <v>90000</v>
      </c>
      <c r="E331">
        <v>5</v>
      </c>
      <c r="F331" t="s">
        <v>29</v>
      </c>
      <c r="G331" t="s">
        <v>14</v>
      </c>
      <c r="H331" t="s">
        <v>15</v>
      </c>
      <c r="I331">
        <v>2</v>
      </c>
      <c r="J331" t="s">
        <v>47</v>
      </c>
      <c r="K331" t="s">
        <v>17</v>
      </c>
      <c r="L331">
        <v>59</v>
      </c>
      <c r="M331" t="str">
        <f t="shared" si="5"/>
        <v>OLD(55-89)</v>
      </c>
      <c r="N331" t="s">
        <v>18</v>
      </c>
    </row>
    <row r="332" spans="1:14" x14ac:dyDescent="0.3">
      <c r="A332">
        <v>24898</v>
      </c>
      <c r="B332" t="s">
        <v>37</v>
      </c>
      <c r="C332" t="s">
        <v>40</v>
      </c>
      <c r="D332" s="3">
        <v>80000</v>
      </c>
      <c r="E332">
        <v>0</v>
      </c>
      <c r="F332" t="s">
        <v>13</v>
      </c>
      <c r="G332" t="s">
        <v>21</v>
      </c>
      <c r="H332" t="s">
        <v>15</v>
      </c>
      <c r="I332">
        <v>3</v>
      </c>
      <c r="J332" t="s">
        <v>47</v>
      </c>
      <c r="K332" t="s">
        <v>24</v>
      </c>
      <c r="L332">
        <v>32</v>
      </c>
      <c r="M332" t="str">
        <f t="shared" si="5"/>
        <v>MIDDLE AGED(30-54)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MIDDLE AGED(30-54)</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AGED(30-54)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AGED(30-54)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AGED(30-54)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AGED(30-54)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AGED(30-54)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AGED(30-54)</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AGED(30-54)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OLD(55-89)</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MIDDLE AGED(30-54)</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AGED(30-54)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AGED(30-54)</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AGED(30-54)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AGED(30-54)</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AGED(30-54)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AGED(30-54)</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AGED(30-54)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AGED(30-54)</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ADOLESCENT(1-29)</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ADOLESCENT(1-29)</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AGED(30-54)</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AGED(30-54)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AGED(30-54)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AGED(30-54)</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AGED(30-54)</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AGED(30-54)</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AGED(30-54)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OLD(55-89)</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MIDDLE AGED(30-54)</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AGED(30-54)</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ADOLESCENT(1-29)</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AGED(30-54)</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OLD(55-89)</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AGED(30-54)</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AGED(30-54)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AGED(30-54)</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AGED(30-54)</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OLD(55-89)</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AGED(30-54)</v>
      </c>
      <c r="N371" t="s">
        <v>15</v>
      </c>
    </row>
    <row r="372" spans="1:14" x14ac:dyDescent="0.3">
      <c r="A372">
        <v>17324</v>
      </c>
      <c r="B372" t="s">
        <v>36</v>
      </c>
      <c r="C372" t="s">
        <v>40</v>
      </c>
      <c r="D372" s="3">
        <v>100000</v>
      </c>
      <c r="E372">
        <v>4</v>
      </c>
      <c r="F372" t="s">
        <v>13</v>
      </c>
      <c r="G372" t="s">
        <v>21</v>
      </c>
      <c r="H372" t="s">
        <v>15</v>
      </c>
      <c r="I372">
        <v>1</v>
      </c>
      <c r="J372" t="s">
        <v>47</v>
      </c>
      <c r="K372" t="s">
        <v>24</v>
      </c>
      <c r="L372">
        <v>46</v>
      </c>
      <c r="M372" t="str">
        <f t="shared" si="5"/>
        <v>MIDDLE AGED(30-54)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AGED(30-54)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AGED(30-54)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MIDDLE AGED(30-54)</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AGED(30-54)</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OLD(55-89)</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OLD(55-89)</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AGED(30-54)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OLD(55-89)</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AGED(30-54)</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MIDDLE AGED(30-54)</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OLD(55-89)</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AGED(30-54)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AGED(30-54)</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ADOLESCENT(1-29)</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IF(L387&gt;54,"OLD(55-89)",IF(L387&gt;=30,"MIDDLE AGED(30-54)",IF(L387&lt;30,"ADOLESCENT(1-29)","INVALID")))</f>
        <v>MIDDLE AGED(30-54)</v>
      </c>
      <c r="N387" t="s">
        <v>18</v>
      </c>
    </row>
    <row r="388" spans="1:14" x14ac:dyDescent="0.3">
      <c r="A388">
        <v>28957</v>
      </c>
      <c r="B388" t="s">
        <v>37</v>
      </c>
      <c r="C388" t="s">
        <v>40</v>
      </c>
      <c r="D388" s="3">
        <v>120000</v>
      </c>
      <c r="E388">
        <v>0</v>
      </c>
      <c r="F388" t="s">
        <v>29</v>
      </c>
      <c r="G388" t="s">
        <v>21</v>
      </c>
      <c r="H388" t="s">
        <v>15</v>
      </c>
      <c r="I388">
        <v>4</v>
      </c>
      <c r="J388" t="s">
        <v>47</v>
      </c>
      <c r="K388" t="s">
        <v>24</v>
      </c>
      <c r="L388">
        <v>34</v>
      </c>
      <c r="M388" t="str">
        <f t="shared" si="6"/>
        <v>MIDDLE AGED(30-54)</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AGED(30-54)</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OLD(55-89)</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AGED(30-54)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AGED(30-54)</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AGED(30-54)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AGED(30-54)</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AGED(30-54)</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AGED(30-54)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AGED(30-54)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AGED(30-54)</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OLD(55-89)</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AGED(30-54)</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AGED(30-54)</v>
      </c>
      <c r="N401" t="s">
        <v>15</v>
      </c>
    </row>
    <row r="402" spans="1:14" x14ac:dyDescent="0.3">
      <c r="A402">
        <v>25792</v>
      </c>
      <c r="B402" t="s">
        <v>37</v>
      </c>
      <c r="C402" t="s">
        <v>40</v>
      </c>
      <c r="D402" s="3">
        <v>110000</v>
      </c>
      <c r="E402">
        <v>3</v>
      </c>
      <c r="F402" t="s">
        <v>13</v>
      </c>
      <c r="G402" t="s">
        <v>28</v>
      </c>
      <c r="H402" t="s">
        <v>15</v>
      </c>
      <c r="I402">
        <v>4</v>
      </c>
      <c r="J402" t="s">
        <v>47</v>
      </c>
      <c r="K402" t="s">
        <v>17</v>
      </c>
      <c r="L402">
        <v>53</v>
      </c>
      <c r="M402" t="str">
        <f t="shared" si="6"/>
        <v>MIDDLE AGED(30-54)</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OLD(55-89)</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AGED(30-54)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AGED(30-54)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AGED(30-54)</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AGED(30-54)</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AGED(30-54)</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AGED(30-54)</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AGED(30-54)</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AGED(30-54)</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AGED(30-54)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AGED(30-54)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AGED(30-54)</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OLD(55-89)</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AGED(30-54)</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AGED(30-54)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AGED(30-54)</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OLD(55-89)</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AGED(30-54)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AGED(30-54)</v>
      </c>
      <c r="N421" t="s">
        <v>15</v>
      </c>
    </row>
    <row r="422" spans="1:14" x14ac:dyDescent="0.3">
      <c r="A422">
        <v>18153</v>
      </c>
      <c r="B422" t="s">
        <v>36</v>
      </c>
      <c r="C422" t="s">
        <v>40</v>
      </c>
      <c r="D422" s="3">
        <v>100000</v>
      </c>
      <c r="E422">
        <v>2</v>
      </c>
      <c r="F422" t="s">
        <v>13</v>
      </c>
      <c r="G422" t="s">
        <v>28</v>
      </c>
      <c r="H422" t="s">
        <v>15</v>
      </c>
      <c r="I422">
        <v>4</v>
      </c>
      <c r="J422" t="s">
        <v>47</v>
      </c>
      <c r="K422" t="s">
        <v>17</v>
      </c>
      <c r="L422">
        <v>59</v>
      </c>
      <c r="M422" t="str">
        <f t="shared" si="6"/>
        <v>OLD(55-89)</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AGED(30-54)</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AGED(30-54)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AGED(30-54)</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AGED(30-54)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OLD(55-89)</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ADOLESCENT(1-29)</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AGED(30-54)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AGED(30-54)</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AGED(30-54)</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OLD(55-89)</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ADOLESCENT(1-29)</v>
      </c>
      <c r="N433" t="s">
        <v>15</v>
      </c>
    </row>
    <row r="434" spans="1:14" x14ac:dyDescent="0.3">
      <c r="A434">
        <v>21891</v>
      </c>
      <c r="B434" t="s">
        <v>36</v>
      </c>
      <c r="C434" t="s">
        <v>40</v>
      </c>
      <c r="D434" s="3">
        <v>110000</v>
      </c>
      <c r="E434">
        <v>0</v>
      </c>
      <c r="F434" t="s">
        <v>27</v>
      </c>
      <c r="G434" t="s">
        <v>28</v>
      </c>
      <c r="H434" t="s">
        <v>15</v>
      </c>
      <c r="I434">
        <v>3</v>
      </c>
      <c r="J434" t="s">
        <v>47</v>
      </c>
      <c r="K434" t="s">
        <v>24</v>
      </c>
      <c r="L434">
        <v>34</v>
      </c>
      <c r="M434" t="str">
        <f t="shared" si="6"/>
        <v>MIDDLE AGED(30-54)</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ADOLESCENT(1-29)</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AGED(30-54)</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OLD(55-89)</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AGED(30-54)</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ADOLESCENT(1-29)</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AGED(30-54)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AGED(30-54)</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AGED(30-54)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AGED(30-54)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AGED(30-54)</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AGED(30-54)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AGED(30-54)</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AGED(30-54)</v>
      </c>
      <c r="N447" t="s">
        <v>15</v>
      </c>
    </row>
    <row r="448" spans="1:14" x14ac:dyDescent="0.3">
      <c r="A448">
        <v>14278</v>
      </c>
      <c r="B448" t="s">
        <v>36</v>
      </c>
      <c r="C448" t="s">
        <v>40</v>
      </c>
      <c r="D448" s="3">
        <v>130000</v>
      </c>
      <c r="E448">
        <v>0</v>
      </c>
      <c r="F448" t="s">
        <v>31</v>
      </c>
      <c r="G448" t="s">
        <v>28</v>
      </c>
      <c r="H448" t="s">
        <v>15</v>
      </c>
      <c r="I448">
        <v>1</v>
      </c>
      <c r="J448" t="s">
        <v>47</v>
      </c>
      <c r="K448" t="s">
        <v>24</v>
      </c>
      <c r="L448">
        <v>48</v>
      </c>
      <c r="M448" t="str">
        <f t="shared" si="6"/>
        <v>MIDDLE AGED(30-54)</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AGED(30-54)</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AGED(30-54)</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IF(L451&gt;54,"OLD(55-89)",IF(L451&gt;=30,"MIDDLE AGED(30-54)",IF(L451&lt;30,"ADOLESCENT(1-29)","INVALID")))</f>
        <v>MIDDLE AGED(30-54)</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AGED(30-54)</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AGED(30-54)</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OLD(55-89)</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AGED(30-54)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AGED(30-54)</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AGED(30-54)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AGED(30-54)</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OLD(55-89)</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AGED(30-54)</v>
      </c>
      <c r="N460" t="s">
        <v>15</v>
      </c>
    </row>
    <row r="461" spans="1:14" x14ac:dyDescent="0.3">
      <c r="A461">
        <v>21554</v>
      </c>
      <c r="B461" t="s">
        <v>37</v>
      </c>
      <c r="C461" t="s">
        <v>40</v>
      </c>
      <c r="D461" s="3">
        <v>80000</v>
      </c>
      <c r="E461">
        <v>0</v>
      </c>
      <c r="F461" t="s">
        <v>13</v>
      </c>
      <c r="G461" t="s">
        <v>21</v>
      </c>
      <c r="H461" t="s">
        <v>18</v>
      </c>
      <c r="I461">
        <v>3</v>
      </c>
      <c r="J461" t="s">
        <v>47</v>
      </c>
      <c r="K461" t="s">
        <v>24</v>
      </c>
      <c r="L461">
        <v>33</v>
      </c>
      <c r="M461" t="str">
        <f t="shared" si="7"/>
        <v>MIDDLE AGED(30-54)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AGED(30-54)</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AGED(30-54)</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AGED(30-54)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AGED(30-54)</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AGED(30-54)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OLD(55-89)</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AGED(30-54)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AGED(30-54)</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AGED(30-54)</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OLD(55-89)</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ADOLESCENT(1-29)</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AGED(30-54)</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AGED(30-54)</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AGED(30-54)</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AGED(30-54)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OLD(55-89)</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AGED(30-54)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AGED(30-54)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AGED(30-54)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AGED(30-54)</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AGED(30-54)</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AGED(30-54)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AGED(30-54)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OLD(55-89)</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AGED(30-54)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AGED(30-54)</v>
      </c>
      <c r="N487" t="s">
        <v>18</v>
      </c>
    </row>
    <row r="488" spans="1:14" x14ac:dyDescent="0.3">
      <c r="A488">
        <v>26415</v>
      </c>
      <c r="B488" t="s">
        <v>36</v>
      </c>
      <c r="C488" t="s">
        <v>40</v>
      </c>
      <c r="D488" s="3">
        <v>90000</v>
      </c>
      <c r="E488">
        <v>4</v>
      </c>
      <c r="F488" t="s">
        <v>29</v>
      </c>
      <c r="G488" t="s">
        <v>14</v>
      </c>
      <c r="H488" t="s">
        <v>15</v>
      </c>
      <c r="I488">
        <v>4</v>
      </c>
      <c r="J488" t="s">
        <v>47</v>
      </c>
      <c r="K488" t="s">
        <v>17</v>
      </c>
      <c r="L488">
        <v>58</v>
      </c>
      <c r="M488" t="str">
        <f t="shared" si="7"/>
        <v>OLD(55-89)</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AGED(30-54)</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AGED(30-54)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AGED(30-54)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AGED(30-54)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AGED(30-54)</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AGED(30-54)</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OLD(55-89)</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AGED(30-54)</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OLD(55-89)</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AGED(30-54)</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AGED(30-54)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AGED(30-54)</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AGED(30-54)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AGED(30-54)</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AGED(30-54)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ADOLESCENT(1-29)</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AGED(30-54)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AGED(30-54)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AGED(30-54)</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AGED(30-54)</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AGED(30-54)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ADOLESCENT(1-29)</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AGED(30-54)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AGED(30-54)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OLD(55-89)</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AGED(30-54)</v>
      </c>
      <c r="N514" t="s">
        <v>15</v>
      </c>
    </row>
    <row r="515" spans="1:14" x14ac:dyDescent="0.3">
      <c r="A515">
        <v>13353</v>
      </c>
      <c r="B515" t="s">
        <v>37</v>
      </c>
      <c r="C515" t="s">
        <v>40</v>
      </c>
      <c r="D515" s="3">
        <v>60000</v>
      </c>
      <c r="E515">
        <v>4</v>
      </c>
      <c r="F515" t="s">
        <v>31</v>
      </c>
      <c r="G515" t="s">
        <v>28</v>
      </c>
      <c r="H515" t="s">
        <v>15</v>
      </c>
      <c r="I515">
        <v>2</v>
      </c>
      <c r="J515" t="s">
        <v>47</v>
      </c>
      <c r="K515" t="s">
        <v>32</v>
      </c>
      <c r="L515">
        <v>61</v>
      </c>
      <c r="M515" t="str">
        <f t="shared" ref="M515:M578" si="8">IF(L515&gt;54,"OLD(55-89)",IF(L515&gt;=30,"MIDDLE AGED(30-54)",IF(L515&lt;30,"ADOLESCENT(1-29)","INVALID")))</f>
        <v>OLD(55-89)</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AGED(30-54)</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AGED(30-54)</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AGED(30-54)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AGED(30-54)</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AGED(30-54)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OLD(55-89)</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AGED(30-54)</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OLD(55-89)</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AGED(30-54)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AGED(30-54)</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OLD(55-89)</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OLD(55-89)</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AGED(30-54)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AGED(30-54)</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ADOLESCENT(1-29)</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OLD(55-89)</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ADOLESCENT(1-29)</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ADOLESCENT(1-29)</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AGED(30-54)</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OLD(55-89)</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OLD(55-89)</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AGED(30-54)</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AGED(30-54)</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AGED(30-54)</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AGED(30-54)</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AGED(30-54)</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AGED(30-54)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AGED(30-54)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ADOLESCENT(1-29)</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AGED(30-54)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AGED(30-54)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ADOLESCENT(1-29)</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AGED(30-54)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OLD(55-89)</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AGED(30-54)</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AGED(30-54)</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AGED(30-54)</v>
      </c>
      <c r="N552" t="s">
        <v>15</v>
      </c>
    </row>
    <row r="553" spans="1:14" x14ac:dyDescent="0.3">
      <c r="A553">
        <v>27393</v>
      </c>
      <c r="B553" t="s">
        <v>36</v>
      </c>
      <c r="C553" t="s">
        <v>40</v>
      </c>
      <c r="D553" s="3">
        <v>50000</v>
      </c>
      <c r="E553">
        <v>4</v>
      </c>
      <c r="F553" t="s">
        <v>13</v>
      </c>
      <c r="G553" t="s">
        <v>28</v>
      </c>
      <c r="H553" t="s">
        <v>15</v>
      </c>
      <c r="I553">
        <v>2</v>
      </c>
      <c r="J553" t="s">
        <v>47</v>
      </c>
      <c r="K553" t="s">
        <v>32</v>
      </c>
      <c r="L553">
        <v>63</v>
      </c>
      <c r="M553" t="str">
        <f t="shared" si="8"/>
        <v>OLD(55-89)</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AGED(30-54)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OLD(55-89)</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AGED(30-54)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AGED(30-54)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AGED(30-54)</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AGED(30-54)</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AGED(30-54)</v>
      </c>
      <c r="N560" t="s">
        <v>18</v>
      </c>
    </row>
    <row r="561" spans="1:14" x14ac:dyDescent="0.3">
      <c r="A561">
        <v>15895</v>
      </c>
      <c r="B561" t="s">
        <v>37</v>
      </c>
      <c r="C561" t="s">
        <v>40</v>
      </c>
      <c r="D561" s="3">
        <v>60000</v>
      </c>
      <c r="E561">
        <v>2</v>
      </c>
      <c r="F561" t="s">
        <v>13</v>
      </c>
      <c r="G561" t="s">
        <v>28</v>
      </c>
      <c r="H561" t="s">
        <v>15</v>
      </c>
      <c r="I561">
        <v>0</v>
      </c>
      <c r="J561" t="s">
        <v>47</v>
      </c>
      <c r="K561" t="s">
        <v>32</v>
      </c>
      <c r="L561">
        <v>58</v>
      </c>
      <c r="M561" t="str">
        <f t="shared" si="8"/>
        <v>OLD(55-89)</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AGED(30-54)</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AGED(30-54)</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AGED(30-54)</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ADOLESCENT(1-29)</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ADOLESCENT(1-29)</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AGED(30-54)</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OLD(55-89)</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AGED(30-54)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AGED(30-54)</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OLD(55-89)</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AGED(30-54)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OLD(55-89)</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MIDDLE AGED(30-54)</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OLD(55-89)</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AGED(30-54)</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OLD(55-89)</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AGED(30-54)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IF(L579&gt;54,"OLD(55-89)",IF(L579&gt;=30,"MIDDLE AGED(30-54)",IF(L579&lt;30,"ADOLESCENT(1-29)","INVALID")))</f>
        <v>MIDDLE AGED(30-54)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OLD(55-89)</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AGED(30-54)</v>
      </c>
      <c r="N581" t="s">
        <v>18</v>
      </c>
    </row>
    <row r="582" spans="1:14" x14ac:dyDescent="0.3">
      <c r="A582">
        <v>20380</v>
      </c>
      <c r="B582" t="s">
        <v>36</v>
      </c>
      <c r="C582" t="s">
        <v>40</v>
      </c>
      <c r="D582" s="3">
        <v>60000</v>
      </c>
      <c r="E582">
        <v>3</v>
      </c>
      <c r="F582" t="s">
        <v>31</v>
      </c>
      <c r="G582" t="s">
        <v>28</v>
      </c>
      <c r="H582" t="s">
        <v>15</v>
      </c>
      <c r="I582">
        <v>2</v>
      </c>
      <c r="J582" t="s">
        <v>47</v>
      </c>
      <c r="K582" t="s">
        <v>32</v>
      </c>
      <c r="L582">
        <v>69</v>
      </c>
      <c r="M582" t="str">
        <f t="shared" si="9"/>
        <v>OLD(55-89)</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ADOLESCENT(1-29)</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AGED(30-54)</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OLD(55-89)</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AGED(30-54)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AGED(30-54)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AGED(30-54)</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AGED(30-54)</v>
      </c>
      <c r="N589" t="s">
        <v>18</v>
      </c>
    </row>
    <row r="590" spans="1:14" x14ac:dyDescent="0.3">
      <c r="A590">
        <v>16871</v>
      </c>
      <c r="B590" t="s">
        <v>36</v>
      </c>
      <c r="C590" t="s">
        <v>40</v>
      </c>
      <c r="D590" s="3">
        <v>90000</v>
      </c>
      <c r="E590">
        <v>2</v>
      </c>
      <c r="F590" t="s">
        <v>27</v>
      </c>
      <c r="G590" t="s">
        <v>21</v>
      </c>
      <c r="H590" t="s">
        <v>15</v>
      </c>
      <c r="I590">
        <v>1</v>
      </c>
      <c r="J590" t="s">
        <v>47</v>
      </c>
      <c r="K590" t="s">
        <v>32</v>
      </c>
      <c r="L590">
        <v>51</v>
      </c>
      <c r="M590" t="str">
        <f t="shared" si="9"/>
        <v>MIDDLE AGED(30-54)</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OLD(55-89)</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AGED(30-54)</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OLD(55-89)</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AGED(30-54)</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AGED(30-54)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OLD(55-89)</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OLD(55-89)</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AGED(30-54)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OLD(55-89)</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AGED(30-54)</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OLD(55-89)</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AGED(30-54)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AGED(30-54)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AGED(30-54)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AGED(30-54)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ADOLESCENT(1-29)</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AGED(30-54)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AGED(30-54)</v>
      </c>
      <c r="N608" t="s">
        <v>18</v>
      </c>
    </row>
    <row r="609" spans="1:14" x14ac:dyDescent="0.3">
      <c r="A609">
        <v>16145</v>
      </c>
      <c r="B609" t="s">
        <v>37</v>
      </c>
      <c r="C609" t="s">
        <v>40</v>
      </c>
      <c r="D609" s="3">
        <v>70000</v>
      </c>
      <c r="E609">
        <v>5</v>
      </c>
      <c r="F609" t="s">
        <v>31</v>
      </c>
      <c r="G609" t="s">
        <v>21</v>
      </c>
      <c r="H609" t="s">
        <v>15</v>
      </c>
      <c r="I609">
        <v>3</v>
      </c>
      <c r="J609" t="s">
        <v>47</v>
      </c>
      <c r="K609" t="s">
        <v>32</v>
      </c>
      <c r="L609">
        <v>46</v>
      </c>
      <c r="M609" t="str">
        <f t="shared" si="9"/>
        <v>MIDDLE AGED(30-54)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AGED(30-54)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AGED(30-54)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AGED(30-54)</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AGED(30-54)</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ADOLESCENT(1-29)</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AGED(30-54)</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AGED(30-54)</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AGED(30-54)</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AGED(30-54)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AGED(30-54)</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AGED(30-54)</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MIDDLE AGED(30-54)</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AGED(30-54)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OLD(55-89)</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AGED(30-54)</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OLD(55-89)</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ADOLESCENT(1-29)</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OLD(55-89)</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ADOLESCENT(1-29)</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OLD(55-89)</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AGED(30-54)</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AGED(30-54)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MIDDLE AGED(30-54)</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AGED(30-54)</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AGED(30-54)</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AGED(30-54)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OLD(55-89)</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AGED(30-54)</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AGED(30-54)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MIDDLE AGED(30-54)</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OLD(55-89)</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OLD(55-89)</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OLD(55-89)</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IF(L643&gt;54,"OLD(55-89)",IF(L643&gt;=30,"MIDDLE AGED(30-54)",IF(L643&lt;30,"ADOLESCENT(1-29)","INVALID")))</f>
        <v>OLD(55-89)</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AGED(30-54)</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AGED(30-54)</v>
      </c>
      <c r="N645" t="s">
        <v>15</v>
      </c>
    </row>
    <row r="646" spans="1:14" x14ac:dyDescent="0.3">
      <c r="A646">
        <v>23368</v>
      </c>
      <c r="B646" t="s">
        <v>36</v>
      </c>
      <c r="C646" t="s">
        <v>40</v>
      </c>
      <c r="D646" s="3">
        <v>60000</v>
      </c>
      <c r="E646">
        <v>5</v>
      </c>
      <c r="F646" t="s">
        <v>13</v>
      </c>
      <c r="G646" t="s">
        <v>14</v>
      </c>
      <c r="H646" t="s">
        <v>15</v>
      </c>
      <c r="I646">
        <v>3</v>
      </c>
      <c r="J646" t="s">
        <v>47</v>
      </c>
      <c r="K646" t="s">
        <v>32</v>
      </c>
      <c r="L646">
        <v>41</v>
      </c>
      <c r="M646" t="str">
        <f t="shared" si="10"/>
        <v>MIDDLE AGED(30-54)</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AGED(30-54)</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AGED(30-54)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AGED(30-54)</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OLD(55-89)</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AGED(30-54)</v>
      </c>
      <c r="N651" t="s">
        <v>15</v>
      </c>
    </row>
    <row r="652" spans="1:14" x14ac:dyDescent="0.3">
      <c r="A652">
        <v>18435</v>
      </c>
      <c r="B652" t="s">
        <v>37</v>
      </c>
      <c r="C652" t="s">
        <v>40</v>
      </c>
      <c r="D652" s="3">
        <v>70000</v>
      </c>
      <c r="E652">
        <v>5</v>
      </c>
      <c r="F652" t="s">
        <v>31</v>
      </c>
      <c r="G652" t="s">
        <v>28</v>
      </c>
      <c r="H652" t="s">
        <v>15</v>
      </c>
      <c r="I652">
        <v>2</v>
      </c>
      <c r="J652" t="s">
        <v>47</v>
      </c>
      <c r="K652" t="s">
        <v>32</v>
      </c>
      <c r="L652">
        <v>67</v>
      </c>
      <c r="M652" t="str">
        <f t="shared" si="10"/>
        <v>OLD(55-89)</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AGED(30-54)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AGED(30-54)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AGED(30-54)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AGED(30-54)</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AGED(30-54)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AGED(30-54)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AGED(30-54)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AGED(30-54)</v>
      </c>
      <c r="N660" t="s">
        <v>15</v>
      </c>
    </row>
    <row r="661" spans="1:14" x14ac:dyDescent="0.3">
      <c r="A661">
        <v>24643</v>
      </c>
      <c r="B661" t="s">
        <v>37</v>
      </c>
      <c r="C661" t="s">
        <v>40</v>
      </c>
      <c r="D661" s="3">
        <v>60000</v>
      </c>
      <c r="E661">
        <v>4</v>
      </c>
      <c r="F661" t="s">
        <v>13</v>
      </c>
      <c r="G661" t="s">
        <v>28</v>
      </c>
      <c r="H661" t="s">
        <v>15</v>
      </c>
      <c r="I661">
        <v>2</v>
      </c>
      <c r="J661" t="s">
        <v>47</v>
      </c>
      <c r="K661" t="s">
        <v>32</v>
      </c>
      <c r="L661">
        <v>63</v>
      </c>
      <c r="M661" t="str">
        <f t="shared" si="10"/>
        <v>OLD(55-89)</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AGED(30-54)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ADOLESCENT(1-29)</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AGED(30-54)</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AGED(30-54)</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AGED(30-54)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AGED(30-54)</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AGED(30-54)</v>
      </c>
      <c r="N668" t="s">
        <v>15</v>
      </c>
    </row>
    <row r="669" spans="1:14" x14ac:dyDescent="0.3">
      <c r="A669">
        <v>20505</v>
      </c>
      <c r="B669" t="s">
        <v>36</v>
      </c>
      <c r="C669" t="s">
        <v>40</v>
      </c>
      <c r="D669" s="3">
        <v>40000</v>
      </c>
      <c r="E669">
        <v>5</v>
      </c>
      <c r="F669" t="s">
        <v>27</v>
      </c>
      <c r="G669" t="s">
        <v>21</v>
      </c>
      <c r="H669" t="s">
        <v>18</v>
      </c>
      <c r="I669">
        <v>2</v>
      </c>
      <c r="J669" t="s">
        <v>47</v>
      </c>
      <c r="K669" t="s">
        <v>32</v>
      </c>
      <c r="L669">
        <v>61</v>
      </c>
      <c r="M669" t="str">
        <f t="shared" si="10"/>
        <v>OLD(55-89)</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AGED(30-54)</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AGED(30-54)</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OLD(55-89)</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AGED(30-54)</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MIDDLE AGED(30-54)</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AGED(30-54)</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AGED(30-54)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AGED(30-54)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AGED(30-54)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AGED(30-54)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OLD(55-89)</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OLD(55-89)</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AGED(30-54)</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AGED(30-54)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AGED(30-54)</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AGED(30-54)</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AGED(30-54)</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AGED(30-54)</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AGED(30-54)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MIDDLE AGED(30-54)</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MIDDLE AGED(30-54)</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ADOLESCENT(1-29)</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AGED(30-54)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AGED(30-54)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AGED(30-54)</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AGED(30-54)</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AGED(30-54)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AGED(30-54)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MIDDLE AGED(30-54)</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ADOLESCENT(1-29)</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AGED(30-54)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AGED(30-54)</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OLD(55-89)</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ADOLESCENT(1-29)</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AGED(30-54)</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AGED(30-54)</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AGED(30-54)</v>
      </c>
      <c r="N706" t="s">
        <v>15</v>
      </c>
    </row>
    <row r="707" spans="1:14" x14ac:dyDescent="0.3">
      <c r="A707">
        <v>11199</v>
      </c>
      <c r="B707" t="s">
        <v>36</v>
      </c>
      <c r="C707" t="s">
        <v>40</v>
      </c>
      <c r="D707" s="3">
        <v>70000</v>
      </c>
      <c r="E707">
        <v>4</v>
      </c>
      <c r="F707" t="s">
        <v>13</v>
      </c>
      <c r="G707" t="s">
        <v>28</v>
      </c>
      <c r="H707" t="s">
        <v>15</v>
      </c>
      <c r="I707">
        <v>1</v>
      </c>
      <c r="J707" t="s">
        <v>47</v>
      </c>
      <c r="K707" t="s">
        <v>32</v>
      </c>
      <c r="L707">
        <v>59</v>
      </c>
      <c r="M707" t="str">
        <f t="shared" ref="M707:M770" si="11">IF(L707&gt;54,"OLD(55-89)",IF(L707&gt;=30,"MIDDLE AGED(30-54)",IF(L707&lt;30,"ADOLESCENT(1-29)","INVALID")))</f>
        <v>OLD(55-89)</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AGED(30-54)</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AGED(30-54)</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OLD(55-89)</v>
      </c>
      <c r="N710" t="s">
        <v>18</v>
      </c>
    </row>
    <row r="711" spans="1:14" x14ac:dyDescent="0.3">
      <c r="A711">
        <v>23712</v>
      </c>
      <c r="B711" t="s">
        <v>37</v>
      </c>
      <c r="C711" t="s">
        <v>40</v>
      </c>
      <c r="D711" s="3">
        <v>70000</v>
      </c>
      <c r="E711">
        <v>2</v>
      </c>
      <c r="F711" t="s">
        <v>13</v>
      </c>
      <c r="G711" t="s">
        <v>28</v>
      </c>
      <c r="H711" t="s">
        <v>15</v>
      </c>
      <c r="I711">
        <v>1</v>
      </c>
      <c r="J711" t="s">
        <v>47</v>
      </c>
      <c r="K711" t="s">
        <v>32</v>
      </c>
      <c r="L711">
        <v>59</v>
      </c>
      <c r="M711" t="str">
        <f t="shared" si="11"/>
        <v>OLD(55-89)</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AGED(30-54)</v>
      </c>
      <c r="N712" t="s">
        <v>15</v>
      </c>
    </row>
    <row r="713" spans="1:14" x14ac:dyDescent="0.3">
      <c r="A713">
        <v>20518</v>
      </c>
      <c r="B713" t="s">
        <v>36</v>
      </c>
      <c r="C713" t="s">
        <v>40</v>
      </c>
      <c r="D713" s="3">
        <v>70000</v>
      </c>
      <c r="E713">
        <v>2</v>
      </c>
      <c r="F713" t="s">
        <v>19</v>
      </c>
      <c r="G713" t="s">
        <v>21</v>
      </c>
      <c r="H713" t="s">
        <v>15</v>
      </c>
      <c r="I713">
        <v>1</v>
      </c>
      <c r="J713" t="s">
        <v>47</v>
      </c>
      <c r="K713" t="s">
        <v>32</v>
      </c>
      <c r="L713">
        <v>58</v>
      </c>
      <c r="M713" t="str">
        <f t="shared" si="11"/>
        <v>OLD(55-89)</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OLD(55-89)</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AGED(30-54)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ADOLESCENT(1-29)</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AGED(30-54)</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AGED(30-54)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AGED(30-54)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AGED(30-54)</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AGED(30-54)</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OLD(55-89)</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AGED(30-54)</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AGED(30-54)</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AGED(30-54)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AGED(30-54)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AGED(30-54)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AGED(30-54)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AGED(30-54)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ADOLESCENT(1-29)</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AGED(30-54)</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AGED(30-54)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AGED(30-54)</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AGED(30-54)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AGED(30-54)</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AGED(30-54)</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ADOLESCENT(1-29)</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AGED(30-54)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AGED(30-54)</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AGED(30-54)</v>
      </c>
      <c r="N740" t="s">
        <v>15</v>
      </c>
    </row>
    <row r="741" spans="1:14" x14ac:dyDescent="0.3">
      <c r="A741">
        <v>11225</v>
      </c>
      <c r="B741" t="s">
        <v>36</v>
      </c>
      <c r="C741" t="s">
        <v>40</v>
      </c>
      <c r="D741" s="3">
        <v>60000</v>
      </c>
      <c r="E741">
        <v>2</v>
      </c>
      <c r="F741" t="s">
        <v>19</v>
      </c>
      <c r="G741" t="s">
        <v>21</v>
      </c>
      <c r="H741" t="s">
        <v>15</v>
      </c>
      <c r="I741">
        <v>1</v>
      </c>
      <c r="J741" t="s">
        <v>47</v>
      </c>
      <c r="K741" t="s">
        <v>32</v>
      </c>
      <c r="L741">
        <v>55</v>
      </c>
      <c r="M741" t="str">
        <f t="shared" si="11"/>
        <v>OLD(55-89)</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MIDDLE AGED(30-54)</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AGED(30-54)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MIDDLE AGED(30-54)</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AGED(30-54)</v>
      </c>
      <c r="N745" t="s">
        <v>18</v>
      </c>
    </row>
    <row r="746" spans="1:14" x14ac:dyDescent="0.3">
      <c r="A746">
        <v>20535</v>
      </c>
      <c r="B746" t="s">
        <v>36</v>
      </c>
      <c r="C746" t="s">
        <v>40</v>
      </c>
      <c r="D746" s="3">
        <v>70000</v>
      </c>
      <c r="E746">
        <v>4</v>
      </c>
      <c r="F746" t="s">
        <v>19</v>
      </c>
      <c r="G746" t="s">
        <v>21</v>
      </c>
      <c r="H746" t="s">
        <v>15</v>
      </c>
      <c r="I746">
        <v>1</v>
      </c>
      <c r="J746" t="s">
        <v>47</v>
      </c>
      <c r="K746" t="s">
        <v>32</v>
      </c>
      <c r="L746">
        <v>56</v>
      </c>
      <c r="M746" t="str">
        <f t="shared" si="11"/>
        <v>OLD(55-89)</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AGED(30-54)</v>
      </c>
      <c r="N747" t="s">
        <v>15</v>
      </c>
    </row>
    <row r="748" spans="1:14" x14ac:dyDescent="0.3">
      <c r="A748">
        <v>28043</v>
      </c>
      <c r="B748" t="s">
        <v>36</v>
      </c>
      <c r="C748" t="s">
        <v>40</v>
      </c>
      <c r="D748" s="3">
        <v>60000</v>
      </c>
      <c r="E748">
        <v>2</v>
      </c>
      <c r="F748" t="s">
        <v>13</v>
      </c>
      <c r="G748" t="s">
        <v>28</v>
      </c>
      <c r="H748" t="s">
        <v>15</v>
      </c>
      <c r="I748">
        <v>0</v>
      </c>
      <c r="J748" t="s">
        <v>47</v>
      </c>
      <c r="K748" t="s">
        <v>32</v>
      </c>
      <c r="L748">
        <v>56</v>
      </c>
      <c r="M748" t="str">
        <f t="shared" si="11"/>
        <v>OLD(55-89)</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AGED(30-54)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OLD(55-89)</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OLD(55-89)</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AGED(30-54)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AGED(30-54)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AGED(30-54)</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ADOLESCENT(1-29)</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OLD(55-89)</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AGED(30-54)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AGED(30-54)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AGED(30-54)</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AGED(30-54)</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AGED(30-54)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AGED(30-54)</v>
      </c>
      <c r="N762" t="s">
        <v>18</v>
      </c>
    </row>
    <row r="763" spans="1:14" x14ac:dyDescent="0.3">
      <c r="A763">
        <v>13216</v>
      </c>
      <c r="B763" t="s">
        <v>36</v>
      </c>
      <c r="C763" t="s">
        <v>40</v>
      </c>
      <c r="D763" s="3">
        <v>60000</v>
      </c>
      <c r="E763">
        <v>5</v>
      </c>
      <c r="F763" t="s">
        <v>13</v>
      </c>
      <c r="G763" t="s">
        <v>28</v>
      </c>
      <c r="H763" t="s">
        <v>15</v>
      </c>
      <c r="I763">
        <v>3</v>
      </c>
      <c r="J763" t="s">
        <v>47</v>
      </c>
      <c r="K763" t="s">
        <v>32</v>
      </c>
      <c r="L763">
        <v>59</v>
      </c>
      <c r="M763" t="str">
        <f t="shared" si="11"/>
        <v>OLD(55-89)</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AGED(30-54)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AGED(30-54)</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ADOLESCENT(1-29)</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AGED(30-54)</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AGED(30-54)</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OLD(55-89)</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AGED(30-54)</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IF(L771&gt;54,"OLD(55-89)",IF(L771&gt;=30,"MIDDLE AGED(30-54)",IF(L771&lt;30,"ADOLESCENT(1-29)","INVALID")))</f>
        <v>MIDDLE AGED(30-54)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OLD(55-89)</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AGED(30-54)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AGED(30-54)</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AGED(30-54)</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AGED(30-54)</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AGED(30-54)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OLD(55-89)</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ADOLESCENT(1-29)</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AGED(30-54)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AGED(30-54)</v>
      </c>
      <c r="N781" t="s">
        <v>15</v>
      </c>
    </row>
    <row r="782" spans="1:14" x14ac:dyDescent="0.3">
      <c r="A782">
        <v>18105</v>
      </c>
      <c r="B782" t="s">
        <v>36</v>
      </c>
      <c r="C782" t="s">
        <v>40</v>
      </c>
      <c r="D782" s="3">
        <v>60000</v>
      </c>
      <c r="E782">
        <v>2</v>
      </c>
      <c r="F782" t="s">
        <v>19</v>
      </c>
      <c r="G782" t="s">
        <v>21</v>
      </c>
      <c r="H782" t="s">
        <v>15</v>
      </c>
      <c r="I782">
        <v>1</v>
      </c>
      <c r="J782" t="s">
        <v>47</v>
      </c>
      <c r="K782" t="s">
        <v>32</v>
      </c>
      <c r="L782">
        <v>55</v>
      </c>
      <c r="M782" t="str">
        <f t="shared" si="12"/>
        <v>OLD(55-89)</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AGED(30-54)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AGED(30-54)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AGED(30-54)</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AGED(30-54)</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ADOLESCENT(1-29)</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AGED(30-54)</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OLD(55-89)</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AGED(30-54)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AGED(30-54)</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AGED(30-54)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ADOLESCENT(1-29)</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AGED(30-54)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AGED(30-54)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OLD(55-89)</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AGED(30-54)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OLD(55-89)</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ADOLESCENT(1-29)</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ADOLESCENT(1-29)</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AGED(30-54)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AGED(30-54)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OLD(55-89)</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ADOLESCENT(1-29)</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ADOLESCENT(1-29)</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ADOLESCENT(1-29)</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AGED(30-54)</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AGED(30-54)</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AGED(30-54)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AGED(30-54)</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OLD(55-89)</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AGED(30-54)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AGED(30-54)</v>
      </c>
      <c r="N813" t="s">
        <v>18</v>
      </c>
    </row>
    <row r="814" spans="1:14" x14ac:dyDescent="0.3">
      <c r="A814">
        <v>15749</v>
      </c>
      <c r="B814" t="s">
        <v>37</v>
      </c>
      <c r="C814" t="s">
        <v>40</v>
      </c>
      <c r="D814" s="3">
        <v>70000</v>
      </c>
      <c r="E814">
        <v>4</v>
      </c>
      <c r="F814" t="s">
        <v>13</v>
      </c>
      <c r="G814" t="s">
        <v>28</v>
      </c>
      <c r="H814" t="s">
        <v>15</v>
      </c>
      <c r="I814">
        <v>2</v>
      </c>
      <c r="J814" t="s">
        <v>47</v>
      </c>
      <c r="K814" t="s">
        <v>32</v>
      </c>
      <c r="L814">
        <v>61</v>
      </c>
      <c r="M814" t="str">
        <f t="shared" si="12"/>
        <v>OLD(55-89)</v>
      </c>
      <c r="N814" t="s">
        <v>18</v>
      </c>
    </row>
    <row r="815" spans="1:14" x14ac:dyDescent="0.3">
      <c r="A815">
        <v>25899</v>
      </c>
      <c r="B815" t="s">
        <v>36</v>
      </c>
      <c r="C815" t="s">
        <v>40</v>
      </c>
      <c r="D815" s="3">
        <v>70000</v>
      </c>
      <c r="E815">
        <v>2</v>
      </c>
      <c r="F815" t="s">
        <v>27</v>
      </c>
      <c r="G815" t="s">
        <v>21</v>
      </c>
      <c r="H815" t="s">
        <v>15</v>
      </c>
      <c r="I815">
        <v>2</v>
      </c>
      <c r="J815" t="s">
        <v>47</v>
      </c>
      <c r="K815" t="s">
        <v>32</v>
      </c>
      <c r="L815">
        <v>53</v>
      </c>
      <c r="M815" t="str">
        <f t="shared" si="12"/>
        <v>MIDDLE AGED(30-54)</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OLD(55-89)</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MIDDLE AGED(30-54)</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AGED(30-54)</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AGED(30-54)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MIDDLE AGED(30-54)</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MIDDLE AGED(30-54)</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AGED(30-54)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AGED(30-54)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AGED(30-54)</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AGED(30-54)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AGED(30-54)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AGED(30-54)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AGED(30-54)</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AGED(30-54)</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ADOLESCENT(1-29)</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OLD(55-89)</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AGED(30-54)</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AGED(30-54)</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AGED(30-54)</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IF(L835&gt;54,"OLD(55-89)",IF(L835&gt;=30,"MIDDLE AGED(30-54)",IF(L835&lt;30,"ADOLESCENT(1-29)","INVALID")))</f>
        <v>MIDDLE AGED(30-54)</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AGED(30-54)</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AGED(30-54)</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ADOLESCENT(1-29)</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AGED(30-54)</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AGED(30-54)</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AGED(30-54)</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AGED(30-54)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OLD(55-89)</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AGED(30-54)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AGED(30-54)</v>
      </c>
      <c r="N845" t="s">
        <v>18</v>
      </c>
    </row>
    <row r="846" spans="1:14" x14ac:dyDescent="0.3">
      <c r="A846">
        <v>22743</v>
      </c>
      <c r="B846" t="s">
        <v>36</v>
      </c>
      <c r="C846" t="s">
        <v>40</v>
      </c>
      <c r="D846" s="3">
        <v>40000</v>
      </c>
      <c r="E846">
        <v>5</v>
      </c>
      <c r="F846" t="s">
        <v>27</v>
      </c>
      <c r="G846" t="s">
        <v>21</v>
      </c>
      <c r="H846" t="s">
        <v>15</v>
      </c>
      <c r="I846">
        <v>2</v>
      </c>
      <c r="J846" t="s">
        <v>47</v>
      </c>
      <c r="K846" t="s">
        <v>32</v>
      </c>
      <c r="L846">
        <v>60</v>
      </c>
      <c r="M846" t="str">
        <f t="shared" si="13"/>
        <v>OLD(55-89)</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AGED(30-54)</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OLD(55-89)</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ADOLESCENT(1-29)</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AGED(30-54)</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OLD(55-89)</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OLD(55-89)</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AGED(30-54)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AGED(30-54)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AGED(30-54)</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AGED(30-54)</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AGED(30-54)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ADOLESCENT(1-29)</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AGED(30-54)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AGED(30-54)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AGED(30-54)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AGED(30-54)</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AGED(30-54)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AGED(30-54)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AGED(30-54)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AGED(30-54)</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AGED(30-54)</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OLD(55-89)</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AGED(30-54)</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OLD(55-89)</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AGED(30-54)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AGED(30-54)</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OLD(55-89)</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AGED(30-54)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AGED(30-54)</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AGED(30-54)</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AGED(30-54)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ADOLESCENT(1-29)</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OLD(55-89)</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OLD(55-89)</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AGED(30-54)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AGED(30-54)</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OLD(55-89)</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AGED(30-54)</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AGED(30-54)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OLD(55-89)</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AGED(30-54)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AGED(30-54)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AGED(30-54)</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AGED(30-54)</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AGED(30-54)</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AGED(30-54)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OLD(55-89)</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AGED(30-54)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AGED(30-54)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AGED(30-54)</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OLD(55-89)</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AGED(30-54)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IF(L899&gt;54,"OLD(55-89)",IF(L899&gt;=30,"MIDDLE AGED(30-54)",IF(L899&lt;30,"ADOLESCENT(1-29)","INVALID")))</f>
        <v>ADOLESCENT(1-29)</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OLD(55-89)</v>
      </c>
      <c r="N900" t="s">
        <v>15</v>
      </c>
    </row>
    <row r="901" spans="1:14" x14ac:dyDescent="0.3">
      <c r="A901">
        <v>28192</v>
      </c>
      <c r="B901" t="s">
        <v>36</v>
      </c>
      <c r="C901" t="s">
        <v>40</v>
      </c>
      <c r="D901" s="3">
        <v>70000</v>
      </c>
      <c r="E901">
        <v>5</v>
      </c>
      <c r="F901" t="s">
        <v>31</v>
      </c>
      <c r="G901" t="s">
        <v>21</v>
      </c>
      <c r="H901" t="s">
        <v>15</v>
      </c>
      <c r="I901">
        <v>3</v>
      </c>
      <c r="J901" t="s">
        <v>47</v>
      </c>
      <c r="K901" t="s">
        <v>32</v>
      </c>
      <c r="L901">
        <v>46</v>
      </c>
      <c r="M901" t="str">
        <f t="shared" si="14"/>
        <v>MIDDLE AGED(30-54)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AGED(30-54)</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AGED(30-54)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AGED(30-54)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OLD(55-89)</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AGED(30-54)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AGED(30-54)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AGED(30-54)</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OLD(55-89)</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AGED(30-54)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AGED(30-54)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AGED(30-54)</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OLD(55-89)</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AGED(30-54)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AGED(30-54)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AGED(30-54)</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OLD(55-89)</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AGED(30-54)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AGED(30-54)</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AGED(30-54)</v>
      </c>
      <c r="N920" t="s">
        <v>15</v>
      </c>
    </row>
    <row r="921" spans="1:14" x14ac:dyDescent="0.3">
      <c r="A921">
        <v>21451</v>
      </c>
      <c r="B921" t="s">
        <v>36</v>
      </c>
      <c r="C921" t="s">
        <v>40</v>
      </c>
      <c r="D921" s="3">
        <v>40000</v>
      </c>
      <c r="E921">
        <v>4</v>
      </c>
      <c r="F921" t="s">
        <v>27</v>
      </c>
      <c r="G921" t="s">
        <v>21</v>
      </c>
      <c r="H921" t="s">
        <v>15</v>
      </c>
      <c r="I921">
        <v>2</v>
      </c>
      <c r="J921" t="s">
        <v>47</v>
      </c>
      <c r="K921" t="s">
        <v>32</v>
      </c>
      <c r="L921">
        <v>61</v>
      </c>
      <c r="M921" t="str">
        <f t="shared" si="14"/>
        <v>OLD(55-89)</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AGED(30-54)</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AGED(30-54)</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AGED(30-54)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AGED(30-54)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AGED(30-54)</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AGED(30-54)</v>
      </c>
      <c r="N927" t="s">
        <v>15</v>
      </c>
    </row>
    <row r="928" spans="1:14" x14ac:dyDescent="0.3">
      <c r="A928">
        <v>26495</v>
      </c>
      <c r="B928" t="s">
        <v>37</v>
      </c>
      <c r="C928" t="s">
        <v>40</v>
      </c>
      <c r="D928" s="3">
        <v>40000</v>
      </c>
      <c r="E928">
        <v>2</v>
      </c>
      <c r="F928" t="s">
        <v>27</v>
      </c>
      <c r="G928" t="s">
        <v>21</v>
      </c>
      <c r="H928" t="s">
        <v>15</v>
      </c>
      <c r="I928">
        <v>2</v>
      </c>
      <c r="J928" t="s">
        <v>47</v>
      </c>
      <c r="K928" t="s">
        <v>32</v>
      </c>
      <c r="L928">
        <v>57</v>
      </c>
      <c r="M928" t="str">
        <f t="shared" si="14"/>
        <v>OLD(55-89)</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AGED(30-54)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AGED(30-54)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AGED(30-54)</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AGED(30-54)</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AGED(30-54)</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ADOLESCENT(1-29)</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ADOLESCENT(1-29)</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OLD(55-89)</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AGED(30-54)</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OLD(55-89)</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AGED(30-54)</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ADOLESCENT(1-29)</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AGED(30-54)</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AGED(30-54)</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AGED(30-54)</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AGED(30-54)</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AGED(30-54)</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AGED(30-54)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AGED(30-54)</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OLD(55-89)</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AGED(30-54)</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AGED(30-54)</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AGED(30-54)</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AGED(30-54)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AGED(30-54)</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OLD(55-89)</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MIDDLE AGED(30-54)</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AGED(30-54)</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AGED(30-54)</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AGED(30-54)</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MIDDLE AGED(30-54)</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AGED(30-54)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AGED(30-54)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AGED(30-54)</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26" si="15">IF(L963&gt;54,"OLD(55-89)",IF(L963&gt;=30,"MIDDLE AGED(30-54)",IF(L963&lt;30,"ADOLESCENT(1-29)","INVALID")))</f>
        <v>OLD(55-89)</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OLD(55-89)</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OLD(55-89)</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OLD(55-89)</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AGED(30-54)</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AGED(30-54)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OLD(55-89)</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ADOLESCENT(1-29)</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AGED(30-54)</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AGED(30-54)</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AGED(30-54)</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AGED(30-54)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AGED(30-54)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AGED(30-54)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AGED(30-54)</v>
      </c>
      <c r="N977" t="s">
        <v>15</v>
      </c>
    </row>
    <row r="978" spans="1:14" x14ac:dyDescent="0.3">
      <c r="A978">
        <v>28004</v>
      </c>
      <c r="B978" t="s">
        <v>36</v>
      </c>
      <c r="C978" t="s">
        <v>40</v>
      </c>
      <c r="D978" s="3">
        <v>60000</v>
      </c>
      <c r="E978">
        <v>3</v>
      </c>
      <c r="F978" t="s">
        <v>13</v>
      </c>
      <c r="G978" t="s">
        <v>28</v>
      </c>
      <c r="H978" t="s">
        <v>15</v>
      </c>
      <c r="I978">
        <v>2</v>
      </c>
      <c r="J978" t="s">
        <v>47</v>
      </c>
      <c r="K978" t="s">
        <v>32</v>
      </c>
      <c r="L978">
        <v>66</v>
      </c>
      <c r="M978" t="str">
        <f t="shared" si="15"/>
        <v>OLD(55-89)</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OLD(55-89)</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AGED(30-54)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AGED(30-54)</v>
      </c>
      <c r="N981" t="s">
        <v>18</v>
      </c>
    </row>
    <row r="982" spans="1:14" x14ac:dyDescent="0.3">
      <c r="A982">
        <v>18594</v>
      </c>
      <c r="B982" t="s">
        <v>37</v>
      </c>
      <c r="C982" t="s">
        <v>40</v>
      </c>
      <c r="D982" s="3">
        <v>80000</v>
      </c>
      <c r="E982">
        <v>3</v>
      </c>
      <c r="F982" t="s">
        <v>13</v>
      </c>
      <c r="G982" t="s">
        <v>14</v>
      </c>
      <c r="H982" t="s">
        <v>15</v>
      </c>
      <c r="I982">
        <v>3</v>
      </c>
      <c r="J982" t="s">
        <v>47</v>
      </c>
      <c r="K982" t="s">
        <v>32</v>
      </c>
      <c r="L982">
        <v>40</v>
      </c>
      <c r="M982" t="str">
        <f t="shared" si="15"/>
        <v>MIDDLE AGED(30-54)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AGED(30-54)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AGED(30-54)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AGED(30-54)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AGED(30-54)</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AGED(30-54)</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OLD(55-89)</v>
      </c>
      <c r="N988" t="s">
        <v>15</v>
      </c>
    </row>
    <row r="989" spans="1:14" x14ac:dyDescent="0.3">
      <c r="A989">
        <v>28972</v>
      </c>
      <c r="B989" t="s">
        <v>37</v>
      </c>
      <c r="C989" t="s">
        <v>40</v>
      </c>
      <c r="D989" s="3">
        <v>60000</v>
      </c>
      <c r="E989">
        <v>3</v>
      </c>
      <c r="F989" t="s">
        <v>31</v>
      </c>
      <c r="G989" t="s">
        <v>28</v>
      </c>
      <c r="H989" t="s">
        <v>15</v>
      </c>
      <c r="I989">
        <v>2</v>
      </c>
      <c r="J989" t="s">
        <v>47</v>
      </c>
      <c r="K989" t="s">
        <v>32</v>
      </c>
      <c r="L989">
        <v>66</v>
      </c>
      <c r="M989" t="str">
        <f t="shared" si="15"/>
        <v>OLD(55-89)</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OLD(55-89)</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AGED(30-54)</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ADOLESCENT(1-29)</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AGED(30-54)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AGED(30-54)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AGED(30-54)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AGED(30-54)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AGED(30-54)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AGED(30-54)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AGED(30-54)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AGED(30-54)</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AGED(30-54)</v>
      </c>
      <c r="N1001" t="s">
        <v>15</v>
      </c>
    </row>
    <row r="1002" spans="1:14" x14ac:dyDescent="0.3">
      <c r="A1002">
        <v>13507</v>
      </c>
      <c r="B1002" t="s">
        <v>36</v>
      </c>
      <c r="C1002" t="s">
        <v>40</v>
      </c>
      <c r="D1002" s="3">
        <v>10000</v>
      </c>
      <c r="E1002">
        <v>2</v>
      </c>
      <c r="F1002" t="s">
        <v>19</v>
      </c>
      <c r="G1002" t="s">
        <v>25</v>
      </c>
      <c r="H1002" t="s">
        <v>15</v>
      </c>
      <c r="I1002">
        <v>0</v>
      </c>
      <c r="J1002" t="s">
        <v>26</v>
      </c>
      <c r="K1002" t="s">
        <v>17</v>
      </c>
      <c r="L1002">
        <v>50</v>
      </c>
      <c r="M1002" t="str">
        <f t="shared" si="15"/>
        <v>MIDDLE AGED(30-54)</v>
      </c>
      <c r="N1002" t="s">
        <v>18</v>
      </c>
    </row>
    <row r="1003" spans="1:14" x14ac:dyDescent="0.3">
      <c r="A1003">
        <v>19280</v>
      </c>
      <c r="B1003" t="s">
        <v>36</v>
      </c>
      <c r="C1003" t="s">
        <v>39</v>
      </c>
      <c r="D1003" s="3">
        <v>120000</v>
      </c>
      <c r="E1003">
        <v>2</v>
      </c>
      <c r="F1003" t="s">
        <v>19</v>
      </c>
      <c r="G1003" t="s">
        <v>25</v>
      </c>
      <c r="H1003" t="s">
        <v>15</v>
      </c>
      <c r="I1003">
        <v>1</v>
      </c>
      <c r="J1003" t="s">
        <v>16</v>
      </c>
      <c r="K1003" t="s">
        <v>17</v>
      </c>
      <c r="L1003">
        <v>40</v>
      </c>
      <c r="M1003" t="str">
        <f t="shared" si="15"/>
        <v>MIDDLE AGED(30-54)</v>
      </c>
      <c r="N1003" t="s">
        <v>15</v>
      </c>
    </row>
    <row r="1004" spans="1:14" x14ac:dyDescent="0.3">
      <c r="A1004">
        <v>22173</v>
      </c>
      <c r="B1004" t="s">
        <v>36</v>
      </c>
      <c r="C1004" t="s">
        <v>40</v>
      </c>
      <c r="D1004" s="3">
        <v>30000</v>
      </c>
      <c r="E1004">
        <v>3</v>
      </c>
      <c r="F1004" t="s">
        <v>27</v>
      </c>
      <c r="G1004" t="s">
        <v>14</v>
      </c>
      <c r="H1004" t="s">
        <v>18</v>
      </c>
      <c r="I1004">
        <v>2</v>
      </c>
      <c r="J1004" t="s">
        <v>26</v>
      </c>
      <c r="K1004" t="s">
        <v>24</v>
      </c>
      <c r="L1004">
        <v>54</v>
      </c>
      <c r="M1004" t="str">
        <f t="shared" si="15"/>
        <v>MIDDLE AGED(30-54)</v>
      </c>
      <c r="N1004" t="s">
        <v>15</v>
      </c>
    </row>
    <row r="1005" spans="1:14" x14ac:dyDescent="0.3">
      <c r="A1005">
        <v>12697</v>
      </c>
      <c r="B1005" t="s">
        <v>37</v>
      </c>
      <c r="C1005" t="s">
        <v>40</v>
      </c>
      <c r="D1005" s="3">
        <v>90000</v>
      </c>
      <c r="E1005">
        <v>0</v>
      </c>
      <c r="F1005" t="s">
        <v>13</v>
      </c>
      <c r="G1005" t="s">
        <v>21</v>
      </c>
      <c r="H1005" t="s">
        <v>18</v>
      </c>
      <c r="I1005">
        <v>4</v>
      </c>
      <c r="J1005" t="s">
        <v>47</v>
      </c>
      <c r="K1005" t="s">
        <v>24</v>
      </c>
      <c r="L1005">
        <v>36</v>
      </c>
      <c r="M1005" t="str">
        <f t="shared" si="15"/>
        <v>MIDDLE AGED(30-54)</v>
      </c>
      <c r="N1005" t="s">
        <v>18</v>
      </c>
    </row>
    <row r="1006" spans="1:14" x14ac:dyDescent="0.3">
      <c r="A1006">
        <v>11434</v>
      </c>
      <c r="B1006" t="s">
        <v>36</v>
      </c>
      <c r="C1006" t="s">
        <v>39</v>
      </c>
      <c r="D1006" s="3">
        <v>170000</v>
      </c>
      <c r="E1006">
        <v>5</v>
      </c>
      <c r="F1006" t="s">
        <v>19</v>
      </c>
      <c r="G1006" t="s">
        <v>21</v>
      </c>
      <c r="H1006" t="s">
        <v>15</v>
      </c>
      <c r="I1006">
        <v>0</v>
      </c>
      <c r="J1006" t="s">
        <v>16</v>
      </c>
      <c r="K1006" t="s">
        <v>17</v>
      </c>
      <c r="L1006">
        <v>55</v>
      </c>
      <c r="M1006" t="str">
        <f t="shared" si="15"/>
        <v>OLD(55-89)</v>
      </c>
      <c r="N1006" t="s">
        <v>18</v>
      </c>
    </row>
    <row r="1007" spans="1:14" x14ac:dyDescent="0.3">
      <c r="A1007">
        <v>25323</v>
      </c>
      <c r="B1007" t="s">
        <v>36</v>
      </c>
      <c r="C1007" t="s">
        <v>39</v>
      </c>
      <c r="D1007" s="3">
        <v>40000</v>
      </c>
      <c r="E1007">
        <v>2</v>
      </c>
      <c r="F1007" t="s">
        <v>19</v>
      </c>
      <c r="G1007" t="s">
        <v>20</v>
      </c>
      <c r="H1007" t="s">
        <v>15</v>
      </c>
      <c r="I1007">
        <v>1</v>
      </c>
      <c r="J1007" t="s">
        <v>26</v>
      </c>
      <c r="K1007" t="s">
        <v>17</v>
      </c>
      <c r="L1007">
        <v>35</v>
      </c>
      <c r="M1007" t="str">
        <f t="shared" si="15"/>
        <v>MIDDLE AGED(30-54)</v>
      </c>
      <c r="N1007" t="s">
        <v>15</v>
      </c>
    </row>
    <row r="1008" spans="1:14" x14ac:dyDescent="0.3">
      <c r="A1008">
        <v>23542</v>
      </c>
      <c r="B1008" t="s">
        <v>37</v>
      </c>
      <c r="C1008" t="s">
        <v>39</v>
      </c>
      <c r="D1008" s="3">
        <v>60000</v>
      </c>
      <c r="E1008">
        <v>1</v>
      </c>
      <c r="F1008" t="s">
        <v>19</v>
      </c>
      <c r="G1008" t="s">
        <v>14</v>
      </c>
      <c r="H1008" t="s">
        <v>18</v>
      </c>
      <c r="I1008">
        <v>1</v>
      </c>
      <c r="J1008" t="s">
        <v>16</v>
      </c>
      <c r="K1008" t="s">
        <v>24</v>
      </c>
      <c r="L1008">
        <v>45</v>
      </c>
      <c r="M1008" t="str">
        <f t="shared" si="15"/>
        <v>MIDDLE AGED(30-54)</v>
      </c>
      <c r="N1008" t="s">
        <v>15</v>
      </c>
    </row>
    <row r="1009" spans="1:14" x14ac:dyDescent="0.3">
      <c r="A1009">
        <v>20870</v>
      </c>
      <c r="B1009" t="s">
        <v>37</v>
      </c>
      <c r="C1009" t="s">
        <v>40</v>
      </c>
      <c r="D1009" s="3">
        <v>10000</v>
      </c>
      <c r="E1009">
        <v>2</v>
      </c>
      <c r="F1009" t="s">
        <v>27</v>
      </c>
      <c r="G1009" t="s">
        <v>25</v>
      </c>
      <c r="H1009" t="s">
        <v>15</v>
      </c>
      <c r="I1009">
        <v>1</v>
      </c>
      <c r="J1009" t="s">
        <v>16</v>
      </c>
      <c r="K1009" t="s">
        <v>17</v>
      </c>
      <c r="L1009">
        <v>38</v>
      </c>
      <c r="M1009" t="str">
        <f t="shared" si="15"/>
        <v>MIDDLE AGED(30-54)</v>
      </c>
      <c r="N1009" t="s">
        <v>15</v>
      </c>
    </row>
    <row r="1010" spans="1:14" x14ac:dyDescent="0.3">
      <c r="A1010">
        <v>23316</v>
      </c>
      <c r="B1010" t="s">
        <v>37</v>
      </c>
      <c r="C1010" t="s">
        <v>39</v>
      </c>
      <c r="D1010" s="3">
        <v>30000</v>
      </c>
      <c r="E1010">
        <v>3</v>
      </c>
      <c r="F1010" t="s">
        <v>19</v>
      </c>
      <c r="G1010" t="s">
        <v>20</v>
      </c>
      <c r="H1010" t="s">
        <v>18</v>
      </c>
      <c r="I1010">
        <v>2</v>
      </c>
      <c r="J1010" t="s">
        <v>26</v>
      </c>
      <c r="K1010" t="s">
        <v>24</v>
      </c>
      <c r="L1010">
        <v>59</v>
      </c>
      <c r="M1010" t="str">
        <f t="shared" si="15"/>
        <v>OLD(55-89)</v>
      </c>
      <c r="N1010" t="s">
        <v>15</v>
      </c>
    </row>
    <row r="1011" spans="1:14" x14ac:dyDescent="0.3">
      <c r="A1011">
        <v>12610</v>
      </c>
      <c r="B1011" t="s">
        <v>36</v>
      </c>
      <c r="C1011" t="s">
        <v>40</v>
      </c>
      <c r="D1011" s="3">
        <v>30000</v>
      </c>
      <c r="E1011">
        <v>1</v>
      </c>
      <c r="F1011" t="s">
        <v>13</v>
      </c>
      <c r="G1011" t="s">
        <v>20</v>
      </c>
      <c r="H1011" t="s">
        <v>15</v>
      </c>
      <c r="I1011">
        <v>0</v>
      </c>
      <c r="J1011" t="s">
        <v>16</v>
      </c>
      <c r="K1011" t="s">
        <v>17</v>
      </c>
      <c r="L1011">
        <v>47</v>
      </c>
      <c r="M1011" t="str">
        <f t="shared" si="15"/>
        <v>MIDDLE AGED(30-54)</v>
      </c>
      <c r="N1011" t="s">
        <v>18</v>
      </c>
    </row>
    <row r="1012" spans="1:14" x14ac:dyDescent="0.3">
      <c r="A1012">
        <v>27183</v>
      </c>
      <c r="B1012" t="s">
        <v>37</v>
      </c>
      <c r="C1012" t="s">
        <v>39</v>
      </c>
      <c r="D1012" s="3">
        <v>40000</v>
      </c>
      <c r="E1012">
        <v>2</v>
      </c>
      <c r="F1012" t="s">
        <v>19</v>
      </c>
      <c r="G1012" t="s">
        <v>20</v>
      </c>
      <c r="H1012" t="s">
        <v>15</v>
      </c>
      <c r="I1012">
        <v>1</v>
      </c>
      <c r="J1012" t="s">
        <v>26</v>
      </c>
      <c r="K1012" t="s">
        <v>17</v>
      </c>
      <c r="L1012">
        <v>35</v>
      </c>
      <c r="M1012" t="str">
        <f t="shared" si="15"/>
        <v>MIDDLE AGED(30-54)</v>
      </c>
      <c r="N1012" t="s">
        <v>15</v>
      </c>
    </row>
    <row r="1013" spans="1:14" x14ac:dyDescent="0.3">
      <c r="A1013">
        <v>25940</v>
      </c>
      <c r="B1013" t="s">
        <v>37</v>
      </c>
      <c r="C1013" t="s">
        <v>39</v>
      </c>
      <c r="D1013" s="3">
        <v>20000</v>
      </c>
      <c r="E1013">
        <v>2</v>
      </c>
      <c r="F1013" t="s">
        <v>29</v>
      </c>
      <c r="G1013" t="s">
        <v>20</v>
      </c>
      <c r="H1013" t="s">
        <v>15</v>
      </c>
      <c r="I1013">
        <v>2</v>
      </c>
      <c r="J1013" t="s">
        <v>23</v>
      </c>
      <c r="K1013" t="s">
        <v>24</v>
      </c>
      <c r="L1013">
        <v>55</v>
      </c>
      <c r="M1013" t="str">
        <f t="shared" si="15"/>
        <v>OLD(55-89)</v>
      </c>
      <c r="N1013" t="s">
        <v>15</v>
      </c>
    </row>
    <row r="1014" spans="1:14" x14ac:dyDescent="0.3">
      <c r="A1014">
        <v>25598</v>
      </c>
      <c r="B1014" t="s">
        <v>36</v>
      </c>
      <c r="C1014" t="s">
        <v>40</v>
      </c>
      <c r="D1014" s="3">
        <v>40000</v>
      </c>
      <c r="E1014">
        <v>0</v>
      </c>
      <c r="F1014" t="s">
        <v>31</v>
      </c>
      <c r="G1014" t="s">
        <v>20</v>
      </c>
      <c r="H1014" t="s">
        <v>15</v>
      </c>
      <c r="I1014">
        <v>0</v>
      </c>
      <c r="J1014" t="s">
        <v>16</v>
      </c>
      <c r="K1014" t="s">
        <v>17</v>
      </c>
      <c r="L1014">
        <v>36</v>
      </c>
      <c r="M1014" t="str">
        <f t="shared" si="15"/>
        <v>MIDDLE AGED(30-54)</v>
      </c>
      <c r="N1014" t="s">
        <v>15</v>
      </c>
    </row>
    <row r="1015" spans="1:14" x14ac:dyDescent="0.3">
      <c r="A1015">
        <v>21564</v>
      </c>
      <c r="B1015" t="s">
        <v>37</v>
      </c>
      <c r="C1015" t="s">
        <v>40</v>
      </c>
      <c r="D1015" s="3">
        <v>80000</v>
      </c>
      <c r="E1015">
        <v>0</v>
      </c>
      <c r="F1015" t="s">
        <v>13</v>
      </c>
      <c r="G1015" t="s">
        <v>21</v>
      </c>
      <c r="H1015" t="s">
        <v>15</v>
      </c>
      <c r="I1015">
        <v>4</v>
      </c>
      <c r="J1015" t="s">
        <v>47</v>
      </c>
      <c r="K1015" t="s">
        <v>24</v>
      </c>
      <c r="L1015">
        <v>35</v>
      </c>
      <c r="M1015" t="str">
        <f t="shared" si="15"/>
        <v>MIDDLE AGED(30-54)</v>
      </c>
      <c r="N1015" t="s">
        <v>18</v>
      </c>
    </row>
    <row r="1016" spans="1:14" x14ac:dyDescent="0.3">
      <c r="A1016">
        <v>19193</v>
      </c>
      <c r="B1016" t="s">
        <v>37</v>
      </c>
      <c r="C1016" t="s">
        <v>39</v>
      </c>
      <c r="D1016" s="3">
        <v>40000</v>
      </c>
      <c r="E1016">
        <v>2</v>
      </c>
      <c r="F1016" t="s">
        <v>19</v>
      </c>
      <c r="G1016" t="s">
        <v>20</v>
      </c>
      <c r="H1016" t="s">
        <v>15</v>
      </c>
      <c r="I1016">
        <v>0</v>
      </c>
      <c r="J1016" t="s">
        <v>26</v>
      </c>
      <c r="K1016" t="s">
        <v>17</v>
      </c>
      <c r="L1016">
        <v>35</v>
      </c>
      <c r="M1016" t="str">
        <f t="shared" si="15"/>
        <v>MIDDLE AGED(30-54)</v>
      </c>
      <c r="N1016" t="s">
        <v>15</v>
      </c>
    </row>
    <row r="1017" spans="1:14" x14ac:dyDescent="0.3">
      <c r="A1017">
        <v>26412</v>
      </c>
      <c r="B1017" t="s">
        <v>36</v>
      </c>
      <c r="C1017" t="s">
        <v>40</v>
      </c>
      <c r="D1017" s="3">
        <v>80000</v>
      </c>
      <c r="E1017">
        <v>5</v>
      </c>
      <c r="F1017" t="s">
        <v>27</v>
      </c>
      <c r="G1017" t="s">
        <v>28</v>
      </c>
      <c r="H1017" t="s">
        <v>18</v>
      </c>
      <c r="I1017">
        <v>3</v>
      </c>
      <c r="J1017" t="s">
        <v>23</v>
      </c>
      <c r="K1017" t="s">
        <v>17</v>
      </c>
      <c r="L1017">
        <v>56</v>
      </c>
      <c r="M1017" t="str">
        <f t="shared" si="15"/>
        <v>OLD(55-89)</v>
      </c>
      <c r="N1017" t="s">
        <v>18</v>
      </c>
    </row>
    <row r="1018" spans="1:14" x14ac:dyDescent="0.3">
      <c r="A1018">
        <v>27184</v>
      </c>
      <c r="B1018" t="s">
        <v>37</v>
      </c>
      <c r="C1018" t="s">
        <v>39</v>
      </c>
      <c r="D1018" s="3">
        <v>40000</v>
      </c>
      <c r="E1018">
        <v>2</v>
      </c>
      <c r="F1018" t="s">
        <v>19</v>
      </c>
      <c r="G1018" t="s">
        <v>20</v>
      </c>
      <c r="H1018" t="s">
        <v>18</v>
      </c>
      <c r="I1018">
        <v>1</v>
      </c>
      <c r="J1018" t="s">
        <v>16</v>
      </c>
      <c r="K1018" t="s">
        <v>17</v>
      </c>
      <c r="L1018">
        <v>34</v>
      </c>
      <c r="M1018" t="str">
        <f t="shared" si="15"/>
        <v>MIDDLE AGED(30-54)</v>
      </c>
      <c r="N1018" t="s">
        <v>18</v>
      </c>
    </row>
    <row r="1019" spans="1:14" x14ac:dyDescent="0.3">
      <c r="A1019">
        <v>12590</v>
      </c>
      <c r="B1019" t="s">
        <v>37</v>
      </c>
      <c r="C1019" t="s">
        <v>39</v>
      </c>
      <c r="D1019" s="3">
        <v>30000</v>
      </c>
      <c r="E1019">
        <v>1</v>
      </c>
      <c r="F1019" t="s">
        <v>13</v>
      </c>
      <c r="G1019" t="s">
        <v>20</v>
      </c>
      <c r="H1019" t="s">
        <v>15</v>
      </c>
      <c r="I1019">
        <v>0</v>
      </c>
      <c r="J1019" t="s">
        <v>16</v>
      </c>
      <c r="K1019" t="s">
        <v>17</v>
      </c>
      <c r="L1019">
        <v>63</v>
      </c>
      <c r="M1019" t="str">
        <f t="shared" si="15"/>
        <v>OLD(55-89)</v>
      </c>
      <c r="N1019" t="s">
        <v>18</v>
      </c>
    </row>
    <row r="1020" spans="1:14" x14ac:dyDescent="0.3">
      <c r="A1020">
        <v>17841</v>
      </c>
      <c r="B1020" t="s">
        <v>37</v>
      </c>
      <c r="C1020" t="s">
        <v>39</v>
      </c>
      <c r="D1020" s="3">
        <v>30000</v>
      </c>
      <c r="E1020">
        <v>0</v>
      </c>
      <c r="F1020" t="s">
        <v>19</v>
      </c>
      <c r="G1020" t="s">
        <v>20</v>
      </c>
      <c r="H1020" t="s">
        <v>18</v>
      </c>
      <c r="I1020">
        <v>1</v>
      </c>
      <c r="J1020" t="s">
        <v>16</v>
      </c>
      <c r="K1020" t="s">
        <v>17</v>
      </c>
      <c r="L1020">
        <v>29</v>
      </c>
      <c r="M1020" t="str">
        <f t="shared" si="15"/>
        <v>ADOLESCENT(1-29)</v>
      </c>
      <c r="N1020" t="s">
        <v>15</v>
      </c>
    </row>
    <row r="1021" spans="1:14" x14ac:dyDescent="0.3">
      <c r="A1021">
        <v>18283</v>
      </c>
      <c r="B1021" t="s">
        <v>37</v>
      </c>
      <c r="C1021" t="s">
        <v>40</v>
      </c>
      <c r="D1021" s="3">
        <v>100000</v>
      </c>
      <c r="E1021">
        <v>0</v>
      </c>
      <c r="F1021" t="s">
        <v>13</v>
      </c>
      <c r="G1021" t="s">
        <v>21</v>
      </c>
      <c r="H1021" t="s">
        <v>18</v>
      </c>
      <c r="I1021">
        <v>1</v>
      </c>
      <c r="J1021" t="s">
        <v>23</v>
      </c>
      <c r="K1021" t="s">
        <v>24</v>
      </c>
      <c r="L1021">
        <v>40</v>
      </c>
      <c r="M1021" t="str">
        <f t="shared" si="15"/>
        <v>MIDDLE AGED(30-54)</v>
      </c>
      <c r="N1021" t="s">
        <v>18</v>
      </c>
    </row>
    <row r="1022" spans="1:14" x14ac:dyDescent="0.3">
      <c r="A1022">
        <v>18299</v>
      </c>
      <c r="B1022" t="s">
        <v>36</v>
      </c>
      <c r="C1022" t="s">
        <v>39</v>
      </c>
      <c r="D1022" s="3">
        <v>70000</v>
      </c>
      <c r="E1022">
        <v>5</v>
      </c>
      <c r="F1022" t="s">
        <v>19</v>
      </c>
      <c r="G1022" t="s">
        <v>14</v>
      </c>
      <c r="H1022" t="s">
        <v>15</v>
      </c>
      <c r="I1022">
        <v>2</v>
      </c>
      <c r="J1022" t="s">
        <v>23</v>
      </c>
      <c r="K1022" t="s">
        <v>24</v>
      </c>
      <c r="L1022">
        <v>44</v>
      </c>
      <c r="M1022" t="str">
        <f t="shared" si="15"/>
        <v>MIDDLE AGED(30-54)</v>
      </c>
      <c r="N1022" t="s">
        <v>18</v>
      </c>
    </row>
    <row r="1023" spans="1:14" x14ac:dyDescent="0.3">
      <c r="A1023">
        <v>16466</v>
      </c>
      <c r="B1023" t="s">
        <v>37</v>
      </c>
      <c r="C1023" t="s">
        <v>40</v>
      </c>
      <c r="D1023" s="3">
        <v>20000</v>
      </c>
      <c r="E1023">
        <v>0</v>
      </c>
      <c r="F1023" t="s">
        <v>29</v>
      </c>
      <c r="G1023" t="s">
        <v>25</v>
      </c>
      <c r="H1023" t="s">
        <v>18</v>
      </c>
      <c r="I1023">
        <v>2</v>
      </c>
      <c r="J1023" t="s">
        <v>16</v>
      </c>
      <c r="K1023" t="s">
        <v>17</v>
      </c>
      <c r="L1023">
        <v>32</v>
      </c>
      <c r="M1023" t="str">
        <f t="shared" si="15"/>
        <v>MIDDLE AGED(30-54)</v>
      </c>
      <c r="N1023" t="s">
        <v>15</v>
      </c>
    </row>
    <row r="1024" spans="1:14" x14ac:dyDescent="0.3">
      <c r="A1024">
        <v>19273</v>
      </c>
      <c r="B1024" t="s">
        <v>36</v>
      </c>
      <c r="C1024" t="s">
        <v>40</v>
      </c>
      <c r="D1024" s="3">
        <v>20000</v>
      </c>
      <c r="E1024">
        <v>2</v>
      </c>
      <c r="F1024" t="s">
        <v>19</v>
      </c>
      <c r="G1024" t="s">
        <v>25</v>
      </c>
      <c r="H1024" t="s">
        <v>15</v>
      </c>
      <c r="I1024">
        <v>0</v>
      </c>
      <c r="J1024" t="s">
        <v>16</v>
      </c>
      <c r="K1024" t="s">
        <v>17</v>
      </c>
      <c r="L1024">
        <v>63</v>
      </c>
      <c r="M1024" t="str">
        <f t="shared" si="15"/>
        <v>OLD(55-89)</v>
      </c>
      <c r="N1024" t="s">
        <v>18</v>
      </c>
    </row>
    <row r="1025" spans="1:14" x14ac:dyDescent="0.3">
      <c r="A1025">
        <v>22400</v>
      </c>
      <c r="B1025" t="s">
        <v>36</v>
      </c>
      <c r="C1025" t="s">
        <v>39</v>
      </c>
      <c r="D1025" s="3">
        <v>10000</v>
      </c>
      <c r="E1025">
        <v>0</v>
      </c>
      <c r="F1025" t="s">
        <v>19</v>
      </c>
      <c r="G1025" t="s">
        <v>25</v>
      </c>
      <c r="H1025" t="s">
        <v>18</v>
      </c>
      <c r="I1025">
        <v>1</v>
      </c>
      <c r="J1025" t="s">
        <v>16</v>
      </c>
      <c r="K1025" t="s">
        <v>24</v>
      </c>
      <c r="L1025">
        <v>26</v>
      </c>
      <c r="M1025" t="str">
        <f t="shared" si="15"/>
        <v>ADOLESCENT(1-29)</v>
      </c>
      <c r="N1025" t="s">
        <v>15</v>
      </c>
    </row>
    <row r="1026" spans="1:14" x14ac:dyDescent="0.3">
      <c r="A1026">
        <v>20942</v>
      </c>
      <c r="B1026" t="s">
        <v>37</v>
      </c>
      <c r="C1026" t="s">
        <v>40</v>
      </c>
      <c r="D1026" s="3">
        <v>20000</v>
      </c>
      <c r="E1026">
        <v>0</v>
      </c>
      <c r="F1026" t="s">
        <v>27</v>
      </c>
      <c r="G1026" t="s">
        <v>25</v>
      </c>
      <c r="H1026" t="s">
        <v>18</v>
      </c>
      <c r="I1026">
        <v>1</v>
      </c>
      <c r="J1026" t="s">
        <v>23</v>
      </c>
      <c r="K1026" t="s">
        <v>17</v>
      </c>
      <c r="L1026">
        <v>31</v>
      </c>
      <c r="M1026" t="str">
        <f t="shared" si="15"/>
        <v>MIDDLE AGED(30-54)</v>
      </c>
      <c r="N1026" t="s">
        <v>18</v>
      </c>
    </row>
    <row r="1027" spans="1:14" x14ac:dyDescent="0.3">
      <c r="A1027">
        <v>18484</v>
      </c>
      <c r="B1027" t="s">
        <v>37</v>
      </c>
      <c r="C1027" t="s">
        <v>39</v>
      </c>
      <c r="D1027" s="3">
        <v>80000</v>
      </c>
      <c r="E1027">
        <v>2</v>
      </c>
      <c r="F1027" t="s">
        <v>27</v>
      </c>
      <c r="G1027" t="s">
        <v>14</v>
      </c>
      <c r="H1027" t="s">
        <v>18</v>
      </c>
      <c r="I1027">
        <v>2</v>
      </c>
      <c r="J1027" t="s">
        <v>26</v>
      </c>
      <c r="K1027" t="s">
        <v>24</v>
      </c>
      <c r="L1027">
        <v>50</v>
      </c>
      <c r="M1027" t="str">
        <f t="shared" ref="M1027" si="16">IF(L1027&gt;54,"OLD(55-89)",IF(L1027&gt;=30,"MIDDLE AGED(30-54)",IF(L1027&lt;30,"ADOLESCENT(1-29)","INVALID")))</f>
        <v>MIDDLE AGED(30-54)</v>
      </c>
      <c r="N1027" t="s">
        <v>15</v>
      </c>
    </row>
  </sheetData>
  <autoFilter ref="A1:N1027" xr:uid="{AA156C9D-1B93-4008-8D69-664BE993133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A05F-0260-43FC-B248-07F83795DE41}">
  <dimension ref="B4:I22"/>
  <sheetViews>
    <sheetView zoomScaleNormal="100" workbookViewId="0">
      <selection activeCell="H21" sqref="H21"/>
    </sheetView>
  </sheetViews>
  <sheetFormatPr defaultRowHeight="14.4" x14ac:dyDescent="0.3"/>
  <cols>
    <col min="2" max="2" width="21.88671875" bestFit="1" customWidth="1"/>
    <col min="3" max="3" width="15.5546875" bestFit="1" customWidth="1"/>
    <col min="4" max="4" width="4" bestFit="1" customWidth="1"/>
    <col min="5" max="5" width="10.77734375" bestFit="1" customWidth="1"/>
    <col min="6" max="6" width="21.88671875" bestFit="1" customWidth="1"/>
    <col min="7" max="7" width="15.5546875" bestFit="1" customWidth="1"/>
    <col min="8" max="8" width="4" bestFit="1" customWidth="1"/>
    <col min="9" max="9" width="10.77734375" bestFit="1" customWidth="1"/>
    <col min="10" max="10" width="15.5546875" bestFit="1" customWidth="1"/>
    <col min="11" max="11" width="4" bestFit="1" customWidth="1"/>
    <col min="12" max="12" width="10.77734375" bestFit="1" customWidth="1"/>
    <col min="13" max="14" width="3" bestFit="1" customWidth="1"/>
    <col min="15" max="15" width="10.77734375" bestFit="1" customWidth="1"/>
  </cols>
  <sheetData>
    <row r="4" spans="2:9" x14ac:dyDescent="0.3">
      <c r="B4" s="4" t="s">
        <v>42</v>
      </c>
      <c r="C4" t="s">
        <v>45</v>
      </c>
    </row>
    <row r="5" spans="2:9" x14ac:dyDescent="0.3">
      <c r="B5" s="5" t="s">
        <v>40</v>
      </c>
      <c r="C5" s="3">
        <v>54331.337325349305</v>
      </c>
      <c r="F5" s="4" t="s">
        <v>46</v>
      </c>
      <c r="G5" s="4" t="s">
        <v>44</v>
      </c>
    </row>
    <row r="6" spans="2:9" x14ac:dyDescent="0.3">
      <c r="B6" s="6" t="s">
        <v>18</v>
      </c>
      <c r="C6" s="3">
        <v>53449.612403100778</v>
      </c>
      <c r="F6" s="4" t="s">
        <v>42</v>
      </c>
      <c r="G6" t="s">
        <v>18</v>
      </c>
      <c r="H6" t="s">
        <v>15</v>
      </c>
      <c r="I6" t="s">
        <v>43</v>
      </c>
    </row>
    <row r="7" spans="2:9" x14ac:dyDescent="0.3">
      <c r="B7" s="6" t="s">
        <v>15</v>
      </c>
      <c r="C7" s="3">
        <v>55267.489711934155</v>
      </c>
      <c r="F7" s="5" t="s">
        <v>16</v>
      </c>
      <c r="G7" s="9">
        <v>171</v>
      </c>
      <c r="H7" s="9">
        <v>207</v>
      </c>
      <c r="I7" s="9">
        <v>378</v>
      </c>
    </row>
    <row r="8" spans="2:9" x14ac:dyDescent="0.3">
      <c r="B8" s="5" t="s">
        <v>39</v>
      </c>
      <c r="C8" s="3">
        <v>58000</v>
      </c>
      <c r="F8" s="5" t="s">
        <v>26</v>
      </c>
      <c r="G8" s="9">
        <v>93</v>
      </c>
      <c r="H8" s="9">
        <v>83</v>
      </c>
      <c r="I8" s="9">
        <v>176</v>
      </c>
    </row>
    <row r="9" spans="2:9" x14ac:dyDescent="0.3">
      <c r="B9" s="6" t="s">
        <v>18</v>
      </c>
      <c r="C9" s="3">
        <v>56520.146520146518</v>
      </c>
      <c r="F9" s="5" t="s">
        <v>22</v>
      </c>
      <c r="G9" s="9">
        <v>67</v>
      </c>
      <c r="H9" s="9">
        <v>95</v>
      </c>
      <c r="I9" s="9">
        <v>162</v>
      </c>
    </row>
    <row r="10" spans="2:9" x14ac:dyDescent="0.3">
      <c r="B10" s="6" t="s">
        <v>15</v>
      </c>
      <c r="C10" s="3">
        <v>59603.174603174601</v>
      </c>
      <c r="F10" s="5" t="s">
        <v>23</v>
      </c>
      <c r="G10" s="9">
        <v>120</v>
      </c>
      <c r="H10" s="9">
        <v>77</v>
      </c>
      <c r="I10" s="9">
        <v>197</v>
      </c>
    </row>
    <row r="11" spans="2:9" x14ac:dyDescent="0.3">
      <c r="B11" s="5" t="s">
        <v>43</v>
      </c>
      <c r="C11" s="3">
        <v>56208.576998050681</v>
      </c>
      <c r="F11" s="5" t="s">
        <v>47</v>
      </c>
      <c r="G11" s="9">
        <v>80</v>
      </c>
      <c r="H11" s="9">
        <v>33</v>
      </c>
      <c r="I11" s="9">
        <v>113</v>
      </c>
    </row>
    <row r="12" spans="2:9" x14ac:dyDescent="0.3">
      <c r="F12" s="5" t="s">
        <v>43</v>
      </c>
      <c r="G12" s="9">
        <v>531</v>
      </c>
      <c r="H12" s="9">
        <v>495</v>
      </c>
      <c r="I12" s="9">
        <v>1026</v>
      </c>
    </row>
    <row r="17" spans="2:5" x14ac:dyDescent="0.3">
      <c r="B17" s="4" t="s">
        <v>46</v>
      </c>
      <c r="C17" s="4" t="s">
        <v>44</v>
      </c>
    </row>
    <row r="18" spans="2:5" x14ac:dyDescent="0.3">
      <c r="B18" s="4" t="s">
        <v>42</v>
      </c>
      <c r="C18" t="s">
        <v>18</v>
      </c>
      <c r="D18" t="s">
        <v>15</v>
      </c>
      <c r="E18" t="s">
        <v>43</v>
      </c>
    </row>
    <row r="19" spans="2:5" x14ac:dyDescent="0.3">
      <c r="B19" s="5" t="s">
        <v>50</v>
      </c>
      <c r="C19" s="9">
        <v>349</v>
      </c>
      <c r="D19" s="9">
        <v>397</v>
      </c>
      <c r="E19" s="9">
        <v>746</v>
      </c>
    </row>
    <row r="20" spans="2:5" x14ac:dyDescent="0.3">
      <c r="B20" s="5" t="s">
        <v>51</v>
      </c>
      <c r="C20" s="9">
        <v>134</v>
      </c>
      <c r="D20" s="9">
        <v>61</v>
      </c>
      <c r="E20" s="9">
        <v>195</v>
      </c>
    </row>
    <row r="21" spans="2:5" x14ac:dyDescent="0.3">
      <c r="B21" s="5" t="s">
        <v>52</v>
      </c>
      <c r="C21" s="9">
        <v>48</v>
      </c>
      <c r="D21" s="9">
        <v>37</v>
      </c>
      <c r="E21" s="9">
        <v>85</v>
      </c>
    </row>
    <row r="22" spans="2:5" x14ac:dyDescent="0.3">
      <c r="B22" s="5" t="s">
        <v>43</v>
      </c>
      <c r="C22" s="9">
        <v>531</v>
      </c>
      <c r="D22" s="9">
        <v>495</v>
      </c>
      <c r="E22" s="9">
        <v>1026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FD67-52D1-4454-A1AF-EDDA7FB7FD95}">
  <dimension ref="A1:Y4"/>
  <sheetViews>
    <sheetView showGridLines="0" tabSelected="1" workbookViewId="0">
      <selection activeCell="B21" sqref="B21"/>
    </sheetView>
  </sheetViews>
  <sheetFormatPr defaultRowHeight="14.4" x14ac:dyDescent="0.3"/>
  <sheetData>
    <row r="1" spans="1:25" x14ac:dyDescent="0.3">
      <c r="A1" s="7"/>
      <c r="B1" s="7"/>
      <c r="C1" s="7"/>
      <c r="D1" s="7"/>
      <c r="E1" s="7"/>
      <c r="F1" s="7"/>
      <c r="G1" s="7"/>
      <c r="H1" s="7"/>
      <c r="I1" s="7"/>
      <c r="J1" s="7"/>
      <c r="K1" s="7"/>
      <c r="L1" s="7"/>
      <c r="M1" s="7"/>
      <c r="N1" s="7"/>
      <c r="O1" s="7"/>
      <c r="P1" s="7"/>
      <c r="Q1" s="7"/>
      <c r="R1" s="7"/>
      <c r="S1" s="7"/>
      <c r="T1" s="7"/>
      <c r="U1" s="7"/>
      <c r="V1" s="7"/>
      <c r="W1" s="7"/>
      <c r="X1" s="7"/>
      <c r="Y1" s="7"/>
    </row>
    <row r="2" spans="1:25" x14ac:dyDescent="0.3">
      <c r="A2" s="7"/>
      <c r="B2" s="7"/>
      <c r="C2" s="7"/>
      <c r="D2" s="7"/>
      <c r="E2" s="7" t="s">
        <v>49</v>
      </c>
      <c r="F2" s="7"/>
      <c r="G2" s="7"/>
      <c r="H2" s="7"/>
      <c r="I2" s="7"/>
      <c r="J2" s="7"/>
      <c r="K2" s="7"/>
      <c r="L2" s="7"/>
      <c r="M2" s="7"/>
      <c r="N2" s="7"/>
      <c r="O2" s="7"/>
      <c r="P2" s="7"/>
      <c r="Q2" s="7"/>
      <c r="R2" s="7"/>
      <c r="S2" s="7"/>
      <c r="T2" s="7"/>
      <c r="U2" s="7"/>
      <c r="V2" s="7"/>
      <c r="W2" s="7"/>
      <c r="X2" s="7"/>
      <c r="Y2" s="7"/>
    </row>
    <row r="3" spans="1:25" x14ac:dyDescent="0.3">
      <c r="A3" s="7"/>
      <c r="B3" s="7"/>
      <c r="C3" s="7"/>
      <c r="D3" s="7"/>
      <c r="E3" s="7"/>
      <c r="F3" s="7"/>
      <c r="G3" s="7"/>
      <c r="H3" s="7"/>
      <c r="I3" s="7"/>
      <c r="J3" s="7"/>
      <c r="K3" s="7"/>
      <c r="L3" s="7"/>
      <c r="M3" s="7"/>
      <c r="N3" s="7"/>
      <c r="O3" s="7"/>
      <c r="P3" s="7"/>
      <c r="Q3" s="7"/>
      <c r="R3" s="7"/>
      <c r="S3" s="7"/>
      <c r="T3" s="7"/>
      <c r="U3" s="7"/>
      <c r="V3" s="7"/>
      <c r="W3" s="7"/>
      <c r="X3" s="7"/>
      <c r="Y3" s="7"/>
    </row>
    <row r="4" spans="1:25" x14ac:dyDescent="0.3">
      <c r="A4" s="8" t="s">
        <v>48</v>
      </c>
      <c r="B4" s="8"/>
      <c r="C4" s="8"/>
      <c r="D4" s="8"/>
      <c r="E4" s="8"/>
      <c r="F4" s="8"/>
      <c r="G4" s="8"/>
      <c r="H4" s="8"/>
      <c r="I4" s="8"/>
      <c r="J4" s="8"/>
      <c r="K4" s="8"/>
      <c r="L4" s="8"/>
      <c r="M4" s="8"/>
      <c r="N4" s="8"/>
      <c r="O4" s="8"/>
      <c r="P4" s="8"/>
      <c r="Q4" s="8"/>
      <c r="R4" s="8"/>
      <c r="S4" s="8"/>
      <c r="T4" s="8"/>
      <c r="U4" s="8"/>
      <c r="V4" s="8"/>
      <c r="W4" s="8"/>
      <c r="X4" s="8"/>
      <c r="Y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A S Akhil</cp:lastModifiedBy>
  <dcterms:created xsi:type="dcterms:W3CDTF">2022-03-18T02:50:57Z</dcterms:created>
  <dcterms:modified xsi:type="dcterms:W3CDTF">2026-03-02T16:39:04Z</dcterms:modified>
</cp:coreProperties>
</file>